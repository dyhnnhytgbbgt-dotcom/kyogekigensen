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AA19DF-1209-43D6-AFC0-DEFD1913B943}" xr6:coauthVersionLast="47" xr6:coauthVersionMax="47" xr10:uidLastSave="{00000000-0000-0000-0000-000000000000}"/>
  <bookViews>
    <workbookView xWindow="-98" yWindow="-98" windowWidth="19396" windowHeight="10276" activeTab="2" xr2:uid="{00000000-000D-0000-FFFF-FFFF00000000}"/>
  </bookViews>
  <sheets>
    <sheet name="スキル厳選" sheetId="1" r:id="rId1"/>
    <sheet name="ボーナス厳選" sheetId="2" r:id="rId2"/>
    <sheet name="使い方！" sheetId="3" r:id="rId3"/>
  </sheets>
  <definedNames>
    <definedName name="_xlnm._FilterDatabase" localSheetId="0" hidden="1">スキル厳選!$B$2:$L$4</definedName>
    <definedName name="_xlnm._FilterDatabase" localSheetId="1" hidden="1">ボーナス厳選!$B$2:$G$3</definedName>
    <definedName name="_xlnm._FilterDatabase" localSheetId="2" hidden="1">'使い方！'!$B$33:$L$35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3" l="1"/>
  <c r="I56" i="3"/>
  <c r="I55" i="3"/>
  <c r="G57" i="3"/>
  <c r="G56" i="3"/>
  <c r="G55" i="3"/>
  <c r="G6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4" i="2"/>
  <c r="G67" i="2"/>
  <c r="E11" i="2"/>
  <c r="E4" i="2"/>
  <c r="J5" i="1"/>
  <c r="E6" i="2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J34" i="1"/>
  <c r="K34" i="1"/>
  <c r="L34" i="1"/>
  <c r="J35" i="1"/>
  <c r="I35" i="1" s="1"/>
  <c r="H35" i="1" s="1"/>
  <c r="K35" i="1"/>
  <c r="L35" i="1"/>
  <c r="J36" i="1"/>
  <c r="K36" i="1"/>
  <c r="L36" i="1"/>
  <c r="J37" i="1"/>
  <c r="I37" i="1" s="1"/>
  <c r="H37" i="1" s="1"/>
  <c r="K37" i="1"/>
  <c r="L37" i="1"/>
  <c r="J38" i="1"/>
  <c r="K38" i="1"/>
  <c r="L38" i="1"/>
  <c r="I38" i="1" s="1"/>
  <c r="H38" i="1" s="1"/>
  <c r="J39" i="1"/>
  <c r="K39" i="1"/>
  <c r="L39" i="1"/>
  <c r="J40" i="1"/>
  <c r="I40" i="1" s="1"/>
  <c r="H40" i="1" s="1"/>
  <c r="K40" i="1"/>
  <c r="L40" i="1"/>
  <c r="J41" i="1"/>
  <c r="I41" i="1" s="1"/>
  <c r="H41" i="1" s="1"/>
  <c r="K41" i="1"/>
  <c r="L41" i="1"/>
  <c r="J42" i="1"/>
  <c r="K42" i="1"/>
  <c r="L42" i="1"/>
  <c r="J43" i="1"/>
  <c r="K43" i="1"/>
  <c r="L43" i="1"/>
  <c r="J44" i="1"/>
  <c r="K44" i="1"/>
  <c r="L44" i="1"/>
  <c r="I45" i="1"/>
  <c r="H45" i="1" s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I49" i="1" s="1"/>
  <c r="H49" i="1" s="1"/>
  <c r="K49" i="1"/>
  <c r="L49" i="1"/>
  <c r="J50" i="1"/>
  <c r="K50" i="1"/>
  <c r="L50" i="1"/>
  <c r="I50" i="1" s="1"/>
  <c r="H50" i="1" s="1"/>
  <c r="J51" i="1"/>
  <c r="I51" i="1" s="1"/>
  <c r="H51" i="1" s="1"/>
  <c r="K51" i="1"/>
  <c r="L51" i="1"/>
  <c r="J52" i="1"/>
  <c r="K52" i="1"/>
  <c r="L52" i="1"/>
  <c r="J53" i="1"/>
  <c r="I53" i="1" s="1"/>
  <c r="H53" i="1" s="1"/>
  <c r="K53" i="1"/>
  <c r="L53" i="1"/>
  <c r="J54" i="1"/>
  <c r="K54" i="1"/>
  <c r="L54" i="1"/>
  <c r="J55" i="1"/>
  <c r="K55" i="1"/>
  <c r="L55" i="1"/>
  <c r="J56" i="1"/>
  <c r="I56" i="1" s="1"/>
  <c r="H56" i="1" s="1"/>
  <c r="K56" i="1"/>
  <c r="L56" i="1"/>
  <c r="J57" i="1"/>
  <c r="I57" i="1" s="1"/>
  <c r="H57" i="1" s="1"/>
  <c r="K57" i="1"/>
  <c r="L57" i="1"/>
  <c r="J58" i="1"/>
  <c r="K58" i="1"/>
  <c r="L58" i="1"/>
  <c r="J59" i="1"/>
  <c r="K59" i="1"/>
  <c r="L59" i="1"/>
  <c r="J60" i="1"/>
  <c r="K60" i="1"/>
  <c r="L60" i="1"/>
  <c r="I61" i="1"/>
  <c r="H61" i="1" s="1"/>
  <c r="J61" i="1"/>
  <c r="K61" i="1"/>
  <c r="L61" i="1"/>
  <c r="E49" i="2"/>
  <c r="E50" i="2"/>
  <c r="I9" i="3" l="1"/>
  <c r="H9" i="3" s="1"/>
  <c r="I13" i="3"/>
  <c r="H13" i="3" s="1"/>
  <c r="I12" i="3"/>
  <c r="H12" i="3" s="1"/>
  <c r="I11" i="3"/>
  <c r="H11" i="3" s="1"/>
  <c r="I10" i="3"/>
  <c r="H10" i="3" s="1"/>
  <c r="I58" i="1"/>
  <c r="H58" i="1" s="1"/>
  <c r="I52" i="1"/>
  <c r="H52" i="1" s="1"/>
  <c r="I47" i="1"/>
  <c r="H47" i="1" s="1"/>
  <c r="I36" i="1"/>
  <c r="H36" i="1" s="1"/>
  <c r="I59" i="1"/>
  <c r="H59" i="1" s="1"/>
  <c r="I54" i="1"/>
  <c r="H54" i="1" s="1"/>
  <c r="I48" i="1"/>
  <c r="H48" i="1" s="1"/>
  <c r="I46" i="1"/>
  <c r="H46" i="1" s="1"/>
  <c r="I43" i="1"/>
  <c r="H43" i="1" s="1"/>
  <c r="I39" i="1"/>
  <c r="H39" i="1" s="1"/>
  <c r="I60" i="1"/>
  <c r="H60" i="1" s="1"/>
  <c r="I55" i="1"/>
  <c r="H55" i="1" s="1"/>
  <c r="I44" i="1"/>
  <c r="H44" i="1" s="1"/>
  <c r="I42" i="1"/>
  <c r="H42" i="1" s="1"/>
  <c r="I34" i="1"/>
  <c r="H34" i="1" s="1"/>
  <c r="E63" i="2"/>
  <c r="E64" i="2"/>
  <c r="E65" i="2"/>
  <c r="E66" i="2"/>
  <c r="E67" i="2"/>
  <c r="E57" i="2"/>
  <c r="E58" i="2"/>
  <c r="E59" i="2"/>
  <c r="E60" i="2"/>
  <c r="E61" i="2"/>
  <c r="E62" i="2"/>
  <c r="E38" i="2"/>
  <c r="E39" i="2"/>
  <c r="E40" i="2"/>
  <c r="E41" i="2"/>
  <c r="E42" i="2"/>
  <c r="E43" i="2"/>
  <c r="E44" i="2"/>
  <c r="E45" i="2"/>
  <c r="E46" i="2"/>
  <c r="E47" i="2"/>
  <c r="E48" i="2"/>
  <c r="E51" i="2"/>
  <c r="E52" i="2"/>
  <c r="E53" i="2"/>
  <c r="E54" i="2"/>
  <c r="E55" i="2"/>
  <c r="E56" i="2"/>
  <c r="J32" i="1"/>
  <c r="K32" i="1"/>
  <c r="L32" i="1"/>
  <c r="J33" i="1"/>
  <c r="K33" i="1"/>
  <c r="L33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E5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6" i="1"/>
  <c r="L6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8" i="1"/>
  <c r="K8" i="1"/>
  <c r="L8" i="1"/>
  <c r="J15" i="1"/>
  <c r="K15" i="1"/>
  <c r="L15" i="1"/>
  <c r="J16" i="1"/>
  <c r="K16" i="1"/>
  <c r="L16" i="1"/>
  <c r="K5" i="1"/>
  <c r="I5" i="1" s="1"/>
  <c r="H5" i="1" s="1"/>
  <c r="L5" i="1"/>
  <c r="J17" i="1"/>
  <c r="K17" i="1"/>
  <c r="L17" i="1"/>
  <c r="J7" i="1"/>
  <c r="K7" i="1"/>
  <c r="L7" i="1"/>
  <c r="K6" i="1"/>
  <c r="I26" i="1" l="1"/>
  <c r="H26" i="1" s="1"/>
  <c r="I33" i="1"/>
  <c r="H33" i="1" s="1"/>
  <c r="I28" i="1"/>
  <c r="H28" i="1" s="1"/>
  <c r="I29" i="1"/>
  <c r="H29" i="1" s="1"/>
  <c r="I30" i="1"/>
  <c r="H30" i="1" s="1"/>
  <c r="I31" i="1"/>
  <c r="H31" i="1" s="1"/>
  <c r="I27" i="1"/>
  <c r="H27" i="1" s="1"/>
  <c r="I24" i="1"/>
  <c r="H24" i="1" s="1"/>
  <c r="I25" i="1"/>
  <c r="H25" i="1" s="1"/>
  <c r="I23" i="1"/>
  <c r="H23" i="1" s="1"/>
  <c r="I32" i="1"/>
  <c r="H32" i="1" s="1"/>
  <c r="I22" i="1"/>
  <c r="H22" i="1" s="1"/>
  <c r="I20" i="1"/>
  <c r="H20" i="1" s="1"/>
  <c r="I21" i="1"/>
  <c r="H21" i="1" s="1"/>
  <c r="I19" i="1"/>
  <c r="H19" i="1" s="1"/>
  <c r="I18" i="1"/>
  <c r="H18" i="1" s="1"/>
  <c r="I17" i="1"/>
  <c r="H17" i="1" s="1"/>
  <c r="I8" i="1"/>
  <c r="H8" i="1" s="1"/>
  <c r="I13" i="1"/>
  <c r="H13" i="1" s="1"/>
  <c r="I7" i="1"/>
  <c r="H7" i="1" s="1"/>
  <c r="I15" i="1"/>
  <c r="H15" i="1" s="1"/>
  <c r="I9" i="1"/>
  <c r="H9" i="1" s="1"/>
  <c r="I16" i="1"/>
  <c r="H16" i="1" s="1"/>
  <c r="I10" i="1"/>
  <c r="H10" i="1" s="1"/>
  <c r="I12" i="1"/>
  <c r="H12" i="1" s="1"/>
  <c r="I6" i="1"/>
  <c r="H6" i="1" s="1"/>
  <c r="I14" i="1"/>
  <c r="H14" i="1" s="1"/>
  <c r="I11" i="1"/>
  <c r="H11" i="1" s="1"/>
</calcChain>
</file>

<file path=xl/sharedStrings.xml><?xml version="1.0" encoding="utf-8"?>
<sst xmlns="http://schemas.openxmlformats.org/spreadsheetml/2006/main" count="159" uniqueCount="43">
  <si>
    <t>タイプ</t>
  </si>
  <si>
    <t>強化回数</t>
  </si>
  <si>
    <t>攻撃pt</t>
  </si>
  <si>
    <t>会心pt</t>
  </si>
  <si>
    <t>属性pt</t>
  </si>
  <si>
    <t>消費pt</t>
  </si>
  <si>
    <t>属性</t>
  </si>
  <si>
    <t>攻撃</t>
    <phoneticPr fontId="1"/>
  </si>
  <si>
    <t>会心</t>
    <phoneticPr fontId="1"/>
  </si>
  <si>
    <t>属性</t>
    <phoneticPr fontId="1"/>
  </si>
  <si>
    <t>武器</t>
    <phoneticPr fontId="1"/>
  </si>
  <si>
    <t>大剣</t>
    <rPh sb="0" eb="2">
      <t>タイケン</t>
    </rPh>
    <phoneticPr fontId="1"/>
  </si>
  <si>
    <t>片手剣</t>
    <rPh sb="0" eb="3">
      <t>カタテケン</t>
    </rPh>
    <phoneticPr fontId="1"/>
  </si>
  <si>
    <t>太刀</t>
    <rPh sb="0" eb="2">
      <t>タチ</t>
    </rPh>
    <phoneticPr fontId="1"/>
  </si>
  <si>
    <t>ハンマー</t>
    <phoneticPr fontId="1"/>
  </si>
  <si>
    <t>ランス</t>
    <phoneticPr fontId="1"/>
  </si>
  <si>
    <t>スラアク</t>
    <phoneticPr fontId="1"/>
  </si>
  <si>
    <t>操虫棍</t>
    <rPh sb="0" eb="1">
      <t>アヤツ</t>
    </rPh>
    <rPh sb="1" eb="2">
      <t>ムシ</t>
    </rPh>
    <phoneticPr fontId="1"/>
  </si>
  <si>
    <t>ヘヴィ</t>
    <phoneticPr fontId="1"/>
  </si>
  <si>
    <t>双剣</t>
    <rPh sb="0" eb="2">
      <t>ソウケン</t>
    </rPh>
    <phoneticPr fontId="1"/>
  </si>
  <si>
    <t>狩猟笛</t>
    <rPh sb="0" eb="3">
      <t>シュリョウブエ</t>
    </rPh>
    <phoneticPr fontId="1"/>
  </si>
  <si>
    <t>チャアク</t>
    <phoneticPr fontId="1"/>
  </si>
  <si>
    <t>ライト</t>
    <phoneticPr fontId="1"/>
  </si>
  <si>
    <t>弓</t>
    <rPh sb="0" eb="1">
      <t>ユミ</t>
    </rPh>
    <phoneticPr fontId="1"/>
  </si>
  <si>
    <t>・火</t>
    <rPh sb="1" eb="2">
      <t>ヒ</t>
    </rPh>
    <phoneticPr fontId="1"/>
  </si>
  <si>
    <t>・水</t>
    <rPh sb="1" eb="2">
      <t>ミズ</t>
    </rPh>
    <phoneticPr fontId="1"/>
  </si>
  <si>
    <t>・雷</t>
    <rPh sb="1" eb="2">
      <t>カミナリ</t>
    </rPh>
    <phoneticPr fontId="1"/>
  </si>
  <si>
    <t>・氷</t>
    <rPh sb="1" eb="2">
      <t>コオリ</t>
    </rPh>
    <phoneticPr fontId="1"/>
  </si>
  <si>
    <t>・龍</t>
    <rPh sb="1" eb="2">
      <t>リュウ</t>
    </rPh>
    <phoneticPr fontId="1"/>
  </si>
  <si>
    <t>・麻痺</t>
    <rPh sb="1" eb="3">
      <t>マヒ</t>
    </rPh>
    <phoneticPr fontId="1"/>
  </si>
  <si>
    <t>ガンス</t>
    <phoneticPr fontId="1"/>
  </si>
  <si>
    <r>
      <t>残パーツ数(</t>
    </r>
    <r>
      <rPr>
        <sz val="11"/>
        <color theme="5" tint="-0.249977111117893"/>
        <rFont val="ＭＳ Ｐゴシック"/>
        <family val="3"/>
        <charset val="128"/>
        <scheme val="minor"/>
      </rPr>
      <t>攻</t>
    </r>
    <r>
      <rPr>
        <sz val="11"/>
        <color theme="1"/>
        <rFont val="ＭＳ Ｐゴシック"/>
        <family val="2"/>
        <scheme val="minor"/>
      </rPr>
      <t>・</t>
    </r>
    <r>
      <rPr>
        <sz val="11"/>
        <color theme="7" tint="-0.249977111117893"/>
        <rFont val="ＭＳ Ｐゴシック"/>
        <family val="3"/>
        <charset val="128"/>
        <scheme val="minor"/>
      </rPr>
      <t>会</t>
    </r>
    <r>
      <rPr>
        <sz val="11"/>
        <color theme="1"/>
        <rFont val="ＭＳ Ｐゴシック"/>
        <family val="2"/>
        <scheme val="minor"/>
      </rPr>
      <t>・</t>
    </r>
    <r>
      <rPr>
        <sz val="11"/>
        <color theme="4" tint="-0.249977111117893"/>
        <rFont val="ＭＳ Ｐゴシック"/>
        <family val="3"/>
        <charset val="128"/>
        <scheme val="minor"/>
      </rPr>
      <t>属</t>
    </r>
    <r>
      <rPr>
        <sz val="11"/>
        <color theme="1"/>
        <rFont val="ＭＳ Ｐゴシック"/>
        <family val="2"/>
        <scheme val="minor"/>
      </rPr>
      <t>)</t>
    </r>
    <rPh sb="0" eb="1">
      <t>ザン</t>
    </rPh>
    <rPh sb="4" eb="5">
      <t>スウ</t>
    </rPh>
    <rPh sb="6" eb="7">
      <t>コウ</t>
    </rPh>
    <rPh sb="8" eb="9">
      <t>カイ</t>
    </rPh>
    <rPh sb="10" eb="11">
      <t>ゾク</t>
    </rPh>
    <phoneticPr fontId="1"/>
  </si>
  <si>
    <t>　　　厳選開始時の所持パーツ</t>
    <rPh sb="3" eb="5">
      <t>ゲンセン</t>
    </rPh>
    <rPh sb="5" eb="7">
      <t>カイシ</t>
    </rPh>
    <rPh sb="7" eb="8">
      <t>ジ</t>
    </rPh>
    <rPh sb="9" eb="11">
      <t>ショジ</t>
    </rPh>
    <phoneticPr fontId="1"/>
  </si>
  <si>
    <t>厳選開始時の所持ナナイロカネ</t>
    <rPh sb="0" eb="2">
      <t>ゲンセン</t>
    </rPh>
    <rPh sb="2" eb="4">
      <t>カイシ</t>
    </rPh>
    <rPh sb="4" eb="5">
      <t>ジ</t>
    </rPh>
    <rPh sb="6" eb="8">
      <t>ショジ</t>
    </rPh>
    <phoneticPr fontId="1"/>
  </si>
  <si>
    <t>攻撃</t>
  </si>
  <si>
    <t>スキル厳選</t>
    <rPh sb="3" eb="5">
      <t>ゲンセン</t>
    </rPh>
    <phoneticPr fontId="1"/>
  </si>
  <si>
    <t>ボーナス厳選</t>
    <rPh sb="4" eb="6">
      <t>ゲンセン</t>
    </rPh>
    <phoneticPr fontId="1"/>
  </si>
  <si>
    <t>エクセルを開いたとき、上に［編集を有効にする］ボタンが表示されている場合は押して有効にしてください。</t>
    <rPh sb="5" eb="6">
      <t>ヒラ</t>
    </rPh>
    <rPh sb="11" eb="12">
      <t>ウエ</t>
    </rPh>
    <rPh sb="14" eb="16">
      <t>ヘンシュウ</t>
    </rPh>
    <rPh sb="17" eb="19">
      <t>ユウコウ</t>
    </rPh>
    <rPh sb="27" eb="29">
      <t>ヒョウジ</t>
    </rPh>
    <rPh sb="34" eb="36">
      <t>バアイ</t>
    </rPh>
    <rPh sb="37" eb="38">
      <t>オ</t>
    </rPh>
    <rPh sb="40" eb="42">
      <t>ユウコウ</t>
    </rPh>
    <phoneticPr fontId="1"/>
  </si>
  <si>
    <t>強化回数１</t>
    <phoneticPr fontId="1"/>
  </si>
  <si>
    <t>強化回数２</t>
    <phoneticPr fontId="1"/>
  </si>
  <si>
    <t>残ナナイロカネ
２</t>
    <rPh sb="0" eb="1">
      <t>ザン</t>
    </rPh>
    <phoneticPr fontId="1"/>
  </si>
  <si>
    <t>残ナナイロカネ
１</t>
    <rPh sb="0" eb="1">
      <t>ザン</t>
    </rPh>
    <phoneticPr fontId="1"/>
  </si>
  <si>
    <t>スラアク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</si>
</sst>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 tint="0.14999847407452621"/>
      <name val="ＭＳ Ｐゴシック"/>
      <family val="2"/>
      <scheme val="minor"/>
    </font>
    <font>
      <sz val="11"/>
      <color theme="5" tint="-0.249977111117893"/>
      <name val="ＭＳ Ｐゴシック"/>
      <family val="3"/>
      <charset val="128"/>
      <scheme val="minor"/>
    </font>
    <font>
      <sz val="11"/>
      <color theme="7" tint="-0.249977111117893"/>
      <name val="ＭＳ Ｐゴシック"/>
      <family val="3"/>
      <charset val="128"/>
      <scheme val="minor"/>
    </font>
    <font>
      <sz val="11"/>
      <color theme="4" tint="-0.249977111117893"/>
      <name val="ＭＳ Ｐゴシック"/>
      <family val="3"/>
      <charset val="128"/>
      <scheme val="minor"/>
    </font>
    <font>
      <sz val="11"/>
      <color rgb="FFC00000"/>
      <name val="ＭＳ Ｐゴシック"/>
      <family val="2"/>
      <scheme val="minor"/>
    </font>
    <font>
      <b/>
      <sz val="11"/>
      <color rgb="FFC0000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/>
      <bottom/>
      <diagonal style="thin">
        <color theme="0"/>
      </diagonal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/>
      <diagonal style="thin">
        <color theme="0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 style="double">
        <color indexed="64"/>
      </bottom>
      <diagonal style="thin">
        <color theme="0"/>
      </diagonal>
    </border>
    <border diagonalUp="1" diagonalDown="1">
      <left style="medium">
        <color indexed="64"/>
      </left>
      <right style="hair">
        <color theme="1" tint="0.499984740745262"/>
      </right>
      <top/>
      <bottom style="double">
        <color indexed="64"/>
      </bottom>
      <diagonal style="thin">
        <color theme="0"/>
      </diagonal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 style="medium">
        <color indexed="64"/>
      </bottom>
      <diagonal style="thin">
        <color theme="0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1" tint="0.499984740745262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theme="1" tint="0.499984740745262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hair">
        <color theme="0" tint="-0.34998626667073579"/>
      </left>
      <right/>
      <top style="thick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2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0" fillId="0" borderId="45" xfId="0" applyBorder="1" applyAlignment="1">
      <alignment horizontal="right" vertical="center"/>
    </xf>
    <xf numFmtId="0" fontId="4" fillId="6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right" vertical="center"/>
    </xf>
    <xf numFmtId="0" fontId="4" fillId="6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0" fontId="0" fillId="0" borderId="51" xfId="0" applyBorder="1" applyAlignment="1">
      <alignment horizontal="right" vertical="center"/>
    </xf>
    <xf numFmtId="0" fontId="4" fillId="6" borderId="52" xfId="0" applyFont="1" applyFill="1" applyBorder="1" applyAlignment="1">
      <alignment horizontal="center" vertical="center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2" borderId="56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39" xfId="0" applyFont="1" applyBorder="1" applyAlignment="1">
      <alignment vertical="center"/>
    </xf>
    <xf numFmtId="0" fontId="0" fillId="0" borderId="63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2" fillId="2" borderId="67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9" fillId="4" borderId="25" xfId="0" applyFont="1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4" borderId="71" xfId="0" applyFont="1" applyFill="1" applyBorder="1" applyAlignment="1">
      <alignment horizontal="center" vertical="center"/>
    </xf>
    <xf numFmtId="0" fontId="2" fillId="4" borderId="72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center"/>
    </xf>
    <xf numFmtId="0" fontId="10" fillId="4" borderId="74" xfId="0" applyFont="1" applyFill="1" applyBorder="1" applyAlignment="1">
      <alignment horizontal="center" vertical="center" wrapText="1"/>
    </xf>
    <xf numFmtId="0" fontId="10" fillId="4" borderId="75" xfId="0" applyFont="1" applyFill="1" applyBorder="1" applyAlignment="1">
      <alignment horizontal="center" vertical="center"/>
    </xf>
    <xf numFmtId="0" fontId="2" fillId="0" borderId="76" xfId="0" applyFont="1" applyBorder="1" applyAlignment="1">
      <alignment horizontal="center"/>
    </xf>
    <xf numFmtId="0" fontId="10" fillId="4" borderId="77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vertical="center"/>
    </xf>
    <xf numFmtId="0" fontId="10" fillId="4" borderId="79" xfId="0" applyFont="1" applyFill="1" applyBorder="1" applyAlignment="1">
      <alignment horizontal="center" vertical="center"/>
    </xf>
    <xf numFmtId="0" fontId="9" fillId="4" borderId="80" xfId="0" applyFont="1" applyFill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4" borderId="38" xfId="0" applyFont="1" applyFill="1" applyBorder="1" applyAlignment="1">
      <alignment horizontal="center" vertical="center" wrapText="1"/>
    </xf>
    <xf numFmtId="0" fontId="2" fillId="4" borderId="82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right" vertical="center"/>
    </xf>
    <xf numFmtId="0" fontId="2" fillId="0" borderId="84" xfId="0" applyFont="1" applyBorder="1" applyAlignment="1">
      <alignment horizontal="right" vertical="center"/>
    </xf>
    <xf numFmtId="0" fontId="2" fillId="4" borderId="61" xfId="0" applyFont="1" applyFill="1" applyBorder="1" applyAlignment="1">
      <alignment horizontal="center" vertical="center" wrapText="1"/>
    </xf>
    <xf numFmtId="0" fontId="2" fillId="4" borderId="7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85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</cellXfs>
  <cellStyles count="1">
    <cellStyle name="標準" xfId="0" builtinId="0"/>
  </cellStyles>
  <dxfs count="6"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119064</xdr:colOff>
      <xdr:row>15</xdr:row>
      <xdr:rowOff>19050</xdr:rowOff>
    </xdr:from>
    <xdr:to>
      <xdr:col>2</xdr:col>
      <xdr:colOff>157164</xdr:colOff>
      <xdr:row>22</xdr:row>
      <xdr:rowOff>71438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2266205-E827-8586-B864-5A7C4245E380}"/>
            </a:ext>
          </a:extLst>
        </xdr:cNvPr>
        <xdr:cNvSpPr/>
      </xdr:nvSpPr>
      <xdr:spPr>
        <a:xfrm>
          <a:off x="119064" y="2514600"/>
          <a:ext cx="981075" cy="1185863"/>
        </a:xfrm>
        <a:prstGeom prst="wedgeRectCallout">
          <a:avLst>
            <a:gd name="adj1" fmla="val 31191"/>
            <a:gd name="adj2" fmla="val -9726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識別用に武器の種類と属性を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クリックしてタブから入力。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手動入力でも可</a:t>
          </a:r>
        </a:p>
      </xdr:txBody>
    </xdr:sp>
    <xdr:clientData/>
  </xdr:twoCellAnchor>
  <xdr:twoCellAnchor>
    <xdr:from>
      <xdr:col>2</xdr:col>
      <xdr:colOff>261939</xdr:colOff>
      <xdr:row>15</xdr:row>
      <xdr:rowOff>23812</xdr:rowOff>
    </xdr:from>
    <xdr:to>
      <xdr:col>4</xdr:col>
      <xdr:colOff>114301</xdr:colOff>
      <xdr:row>20</xdr:row>
      <xdr:rowOff>9524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D02E2D3-98D0-4E14-8FE1-4433A748A129}"/>
            </a:ext>
          </a:extLst>
        </xdr:cNvPr>
        <xdr:cNvSpPr/>
      </xdr:nvSpPr>
      <xdr:spPr>
        <a:xfrm>
          <a:off x="1204914" y="2519362"/>
          <a:ext cx="1233487" cy="795337"/>
        </a:xfrm>
        <a:prstGeom prst="wedgeRectCallout">
          <a:avLst>
            <a:gd name="adj1" fmla="val 19557"/>
            <a:gd name="adj2" fmla="val -10124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武器の強化タイプをクリックしてタブから入力。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計算に影響します。</a:t>
          </a:r>
        </a:p>
      </xdr:txBody>
    </xdr:sp>
    <xdr:clientData/>
  </xdr:twoCellAnchor>
  <xdr:twoCellAnchor>
    <xdr:from>
      <xdr:col>4</xdr:col>
      <xdr:colOff>476251</xdr:colOff>
      <xdr:row>15</xdr:row>
      <xdr:rowOff>33337</xdr:rowOff>
    </xdr:from>
    <xdr:to>
      <xdr:col>5</xdr:col>
      <xdr:colOff>876300</xdr:colOff>
      <xdr:row>19</xdr:row>
      <xdr:rowOff>90487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2B919E92-315C-40B1-84AD-10EB85470C71}"/>
            </a:ext>
          </a:extLst>
        </xdr:cNvPr>
        <xdr:cNvSpPr/>
      </xdr:nvSpPr>
      <xdr:spPr>
        <a:xfrm>
          <a:off x="2800351" y="2528887"/>
          <a:ext cx="1204912" cy="704850"/>
        </a:xfrm>
        <a:prstGeom prst="wedgeRectCallout">
          <a:avLst>
            <a:gd name="adj1" fmla="val 20386"/>
            <a:gd name="adj2" fmla="val -11273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当たりが出た時の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残りパーツを数を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攻・会・属順に入力。</a:t>
          </a:r>
        </a:p>
      </xdr:txBody>
    </xdr:sp>
    <xdr:clientData/>
  </xdr:twoCellAnchor>
  <xdr:twoCellAnchor>
    <xdr:from>
      <xdr:col>9</xdr:col>
      <xdr:colOff>109538</xdr:colOff>
      <xdr:row>15</xdr:row>
      <xdr:rowOff>14287</xdr:rowOff>
    </xdr:from>
    <xdr:to>
      <xdr:col>10</xdr:col>
      <xdr:colOff>609600</xdr:colOff>
      <xdr:row>19</xdr:row>
      <xdr:rowOff>76200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722F1C9D-61C9-4417-AAEC-0A64D9DC9617}"/>
            </a:ext>
          </a:extLst>
        </xdr:cNvPr>
        <xdr:cNvSpPr/>
      </xdr:nvSpPr>
      <xdr:spPr>
        <a:xfrm>
          <a:off x="5967413" y="2509837"/>
          <a:ext cx="1147762" cy="709613"/>
        </a:xfrm>
        <a:prstGeom prst="wedgeRectCallout">
          <a:avLst>
            <a:gd name="adj1" fmla="val 15407"/>
            <a:gd name="adj2" fmla="val -8989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グレーの部分は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計算用セルなので無視しましょう。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762000</xdr:colOff>
      <xdr:row>7</xdr:row>
      <xdr:rowOff>123825</xdr:rowOff>
    </xdr:from>
    <xdr:to>
      <xdr:col>8</xdr:col>
      <xdr:colOff>33338</xdr:colOff>
      <xdr:row>11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7A93EED-2947-16F5-AAFF-D5642921D779}"/>
            </a:ext>
          </a:extLst>
        </xdr:cNvPr>
        <xdr:cNvSpPr/>
      </xdr:nvSpPr>
      <xdr:spPr>
        <a:xfrm>
          <a:off x="4819650" y="1271588"/>
          <a:ext cx="1033463" cy="590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404813</xdr:colOff>
      <xdr:row>15</xdr:row>
      <xdr:rowOff>19048</xdr:rowOff>
    </xdr:from>
    <xdr:to>
      <xdr:col>8</xdr:col>
      <xdr:colOff>257175</xdr:colOff>
      <xdr:row>27</xdr:row>
      <xdr:rowOff>9524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4CE70365-4579-4CAF-B7AF-D7A4422E1863}"/>
            </a:ext>
          </a:extLst>
        </xdr:cNvPr>
        <xdr:cNvSpPr/>
      </xdr:nvSpPr>
      <xdr:spPr>
        <a:xfrm>
          <a:off x="4024313" y="2514598"/>
          <a:ext cx="1443037" cy="1933576"/>
        </a:xfrm>
        <a:prstGeom prst="wedgeRectCallout">
          <a:avLst>
            <a:gd name="adj1" fmla="val 16707"/>
            <a:gd name="adj2" fmla="val -6865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パーツの消費数に応じて強化回数が自動計算されます。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残数未入力の場合は最大強化可能数が表示。複数のタイプを同時に厳選する場合はパーツの消費順などで実際の最大強化可能数回数が変動する場合あり。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157163</xdr:colOff>
      <xdr:row>10</xdr:row>
      <xdr:rowOff>152399</xdr:rowOff>
    </xdr:from>
    <xdr:to>
      <xdr:col>15</xdr:col>
      <xdr:colOff>9525</xdr:colOff>
      <xdr:row>15</xdr:row>
      <xdr:rowOff>95251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4485BFDE-4896-4A27-984F-8CED742F98E0}"/>
            </a:ext>
          </a:extLst>
        </xdr:cNvPr>
        <xdr:cNvSpPr/>
      </xdr:nvSpPr>
      <xdr:spPr>
        <a:xfrm>
          <a:off x="8605838" y="1804987"/>
          <a:ext cx="1147762" cy="785814"/>
        </a:xfrm>
        <a:prstGeom prst="wedgeRectCallout">
          <a:avLst>
            <a:gd name="adj1" fmla="val 22046"/>
            <a:gd name="adj2" fmla="val -9261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厳選開始時の所持パーツ数を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それぞれ入力します。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261937</xdr:colOff>
      <xdr:row>27</xdr:row>
      <xdr:rowOff>138112</xdr:rowOff>
    </xdr:from>
    <xdr:to>
      <xdr:col>6</xdr:col>
      <xdr:colOff>519112</xdr:colOff>
      <xdr:row>31</xdr:row>
      <xdr:rowOff>80963</xdr:rowOff>
    </xdr:to>
    <xdr:sp macro="" textlink="">
      <xdr:nvSpPr>
        <xdr:cNvPr id="9" name="矢印: 下 8">
          <a:extLst>
            <a:ext uri="{FF2B5EF4-FFF2-40B4-BE49-F238E27FC236}">
              <a16:creationId xmlns:a16="http://schemas.microsoft.com/office/drawing/2014/main" id="{E4BA5E62-2B1E-10DD-F98E-CB8EE83595CC}"/>
            </a:ext>
          </a:extLst>
        </xdr:cNvPr>
        <xdr:cNvSpPr/>
      </xdr:nvSpPr>
      <xdr:spPr>
        <a:xfrm>
          <a:off x="3881437" y="4576762"/>
          <a:ext cx="257175" cy="590551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542925</xdr:colOff>
      <xdr:row>36</xdr:row>
      <xdr:rowOff>76198</xdr:rowOff>
    </xdr:from>
    <xdr:to>
      <xdr:col>8</xdr:col>
      <xdr:colOff>395287</xdr:colOff>
      <xdr:row>45</xdr:row>
      <xdr:rowOff>95251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3CD5E937-B2E0-4AF4-9A79-3EB5E8D99A59}"/>
            </a:ext>
          </a:extLst>
        </xdr:cNvPr>
        <xdr:cNvSpPr/>
      </xdr:nvSpPr>
      <xdr:spPr>
        <a:xfrm>
          <a:off x="4600575" y="5981698"/>
          <a:ext cx="1614487" cy="1476378"/>
        </a:xfrm>
        <a:prstGeom prst="wedgeRectCallout">
          <a:avLst>
            <a:gd name="adj1" fmla="val 20386"/>
            <a:gd name="adj2" fmla="val -7724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厳選が終わって回数の少ない順番に並び替えたい場合、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強化回数の所の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▼ボタンを押し、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次の画面の一番上の項目［昇順］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を選択すると少ない数から順に並び替える。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685800</xdr:colOff>
      <xdr:row>31</xdr:row>
      <xdr:rowOff>90488</xdr:rowOff>
    </xdr:from>
    <xdr:to>
      <xdr:col>8</xdr:col>
      <xdr:colOff>66675</xdr:colOff>
      <xdr:row>33</xdr:row>
      <xdr:rowOff>42861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33EE743D-36F5-E9E7-9485-69EB3C8E1F90}"/>
            </a:ext>
          </a:extLst>
        </xdr:cNvPr>
        <xdr:cNvSpPr/>
      </xdr:nvSpPr>
      <xdr:spPr>
        <a:xfrm>
          <a:off x="4953000" y="5176838"/>
          <a:ext cx="323850" cy="28098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528636</xdr:colOff>
      <xdr:row>56</xdr:row>
      <xdr:rowOff>61912</xdr:rowOff>
    </xdr:from>
    <xdr:to>
      <xdr:col>12</xdr:col>
      <xdr:colOff>280987</xdr:colOff>
      <xdr:row>64</xdr:row>
      <xdr:rowOff>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24C493FF-C2CC-4B58-A912-CC407DCE4A86}"/>
            </a:ext>
          </a:extLst>
        </xdr:cNvPr>
        <xdr:cNvSpPr/>
      </xdr:nvSpPr>
      <xdr:spPr>
        <a:xfrm>
          <a:off x="7067549" y="9296400"/>
          <a:ext cx="1695451" cy="1247775"/>
        </a:xfrm>
        <a:prstGeom prst="wedgeRectCallout">
          <a:avLst>
            <a:gd name="adj1" fmla="val 17897"/>
            <a:gd name="adj2" fmla="val -75119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厳選開始時の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所持ナナイロカネ数を入力。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このツールを使う場合は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ナナイロカネ以外の素材を使用すると計算がずれるので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強化はナイロカネのみ使用してください。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666750</xdr:colOff>
      <xdr:row>59</xdr:row>
      <xdr:rowOff>47625</xdr:rowOff>
    </xdr:from>
    <xdr:to>
      <xdr:col>5</xdr:col>
      <xdr:colOff>714374</xdr:colOff>
      <xdr:row>62</xdr:row>
      <xdr:rowOff>142876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C24CE1D4-7345-479A-AA76-C8CF7B567CAB}"/>
            </a:ext>
          </a:extLst>
        </xdr:cNvPr>
        <xdr:cNvSpPr/>
      </xdr:nvSpPr>
      <xdr:spPr>
        <a:xfrm>
          <a:off x="2257425" y="9782175"/>
          <a:ext cx="1585912" cy="581026"/>
        </a:xfrm>
        <a:prstGeom prst="wedgeRectCallout">
          <a:avLst>
            <a:gd name="adj1" fmla="val 26162"/>
            <a:gd name="adj2" fmla="val -10872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当たりが出た際の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ナナイロカネ残数を入力する。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47625</xdr:colOff>
      <xdr:row>59</xdr:row>
      <xdr:rowOff>47625</xdr:rowOff>
    </xdr:from>
    <xdr:to>
      <xdr:col>8</xdr:col>
      <xdr:colOff>247650</xdr:colOff>
      <xdr:row>64</xdr:row>
      <xdr:rowOff>128588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FEB35A46-2AC5-42A5-A715-9B56492FF1BE}"/>
            </a:ext>
          </a:extLst>
        </xdr:cNvPr>
        <xdr:cNvSpPr/>
      </xdr:nvSpPr>
      <xdr:spPr>
        <a:xfrm>
          <a:off x="4105275" y="9782175"/>
          <a:ext cx="1962150" cy="890588"/>
        </a:xfrm>
        <a:prstGeom prst="wedgeRectCallout">
          <a:avLst>
            <a:gd name="adj1" fmla="val 20452"/>
            <a:gd name="adj2" fmla="val -8947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２つ目の入力欄を利用するパターン。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ボーナスリセットで目的のボーナス組み合わせを出した後に、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続けてボーナス数値厳選を行う場合にこちらを使う。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showGridLines="0" workbookViewId="0"/>
  </sheetViews>
  <sheetFormatPr defaultRowHeight="20" customHeight="1" x14ac:dyDescent="0.25"/>
  <cols>
    <col min="1" max="1" width="8.3984375" style="1" customWidth="1"/>
    <col min="2" max="2" width="8.46484375" style="1" customWidth="1"/>
    <col min="3" max="3" width="7.06640625" style="1" customWidth="1"/>
    <col min="4" max="4" width="10.265625" style="1" bestFit="1" customWidth="1"/>
    <col min="5" max="7" width="9.06640625" style="1"/>
    <col min="8" max="8" width="13.19921875" style="1" bestFit="1" customWidth="1"/>
    <col min="9" max="12" width="9.06640625" style="1"/>
    <col min="13" max="13" width="2.73046875" style="1" customWidth="1"/>
    <col min="14" max="40" width="9.06640625" style="1" customWidth="1"/>
    <col min="41" max="16384" width="9.06640625" style="1"/>
  </cols>
  <sheetData>
    <row r="1" spans="1:40" ht="7.9" customHeight="1" thickBot="1" x14ac:dyDescent="0.3"/>
    <row r="2" spans="1:40" ht="12.4" customHeight="1" x14ac:dyDescent="0.25">
      <c r="A2" s="66"/>
      <c r="B2" s="76" t="s">
        <v>10</v>
      </c>
      <c r="C2" s="77"/>
      <c r="D2" s="77" t="s">
        <v>0</v>
      </c>
      <c r="E2" s="70" t="s">
        <v>31</v>
      </c>
      <c r="F2" s="70"/>
      <c r="G2" s="70"/>
      <c r="H2" s="73" t="s">
        <v>1</v>
      </c>
      <c r="I2" s="70" t="s">
        <v>5</v>
      </c>
      <c r="J2" s="70" t="s">
        <v>2</v>
      </c>
      <c r="K2" s="70" t="s">
        <v>3</v>
      </c>
      <c r="L2" s="67" t="s">
        <v>4</v>
      </c>
      <c r="N2" s="46" t="s">
        <v>32</v>
      </c>
      <c r="O2" s="47"/>
      <c r="P2" s="48"/>
    </row>
    <row r="3" spans="1:40" ht="10.9" customHeight="1" x14ac:dyDescent="0.25">
      <c r="A3" s="66"/>
      <c r="B3" s="78"/>
      <c r="C3" s="79"/>
      <c r="D3" s="79"/>
      <c r="E3" s="71"/>
      <c r="F3" s="71"/>
      <c r="G3" s="71"/>
      <c r="H3" s="74"/>
      <c r="I3" s="71"/>
      <c r="J3" s="71"/>
      <c r="K3" s="71"/>
      <c r="L3" s="68"/>
      <c r="N3" s="49" t="s">
        <v>7</v>
      </c>
      <c r="O3" s="2" t="s">
        <v>8</v>
      </c>
      <c r="P3" s="50" t="s">
        <v>9</v>
      </c>
      <c r="U3" s="1" t="s">
        <v>11</v>
      </c>
      <c r="V3" s="1" t="s">
        <v>12</v>
      </c>
      <c r="W3" s="1" t="s">
        <v>14</v>
      </c>
      <c r="X3" s="1" t="s">
        <v>15</v>
      </c>
      <c r="Y3" s="1" t="s">
        <v>16</v>
      </c>
      <c r="Z3" s="1" t="s">
        <v>17</v>
      </c>
      <c r="AA3" s="1" t="s">
        <v>18</v>
      </c>
      <c r="AB3" s="1" t="s">
        <v>13</v>
      </c>
      <c r="AC3" s="1" t="s">
        <v>19</v>
      </c>
      <c r="AD3" s="1" t="s">
        <v>20</v>
      </c>
      <c r="AE3" s="1" t="s">
        <v>30</v>
      </c>
      <c r="AF3" s="1" t="s">
        <v>21</v>
      </c>
      <c r="AG3" s="1" t="s">
        <v>22</v>
      </c>
      <c r="AH3" s="1" t="s">
        <v>23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28</v>
      </c>
      <c r="AN3" s="1" t="s">
        <v>29</v>
      </c>
    </row>
    <row r="4" spans="1:40" ht="15.4" customHeight="1" thickBot="1" x14ac:dyDescent="0.3">
      <c r="A4" s="66"/>
      <c r="B4" s="80"/>
      <c r="C4" s="81"/>
      <c r="D4" s="81"/>
      <c r="E4" s="72"/>
      <c r="F4" s="72"/>
      <c r="G4" s="72"/>
      <c r="H4" s="75"/>
      <c r="I4" s="72"/>
      <c r="J4" s="72"/>
      <c r="K4" s="72"/>
      <c r="L4" s="69"/>
      <c r="N4" s="51"/>
      <c r="O4" s="52"/>
      <c r="P4" s="53"/>
    </row>
    <row r="5" spans="1:40" ht="20" customHeight="1" thickBot="1" x14ac:dyDescent="0.3">
      <c r="B5" s="38"/>
      <c r="C5" s="30"/>
      <c r="D5" s="31" t="s">
        <v>6</v>
      </c>
      <c r="E5" s="32"/>
      <c r="F5" s="33"/>
      <c r="G5" s="34"/>
      <c r="H5" s="35">
        <f>INT(I5/1500)</f>
        <v>0</v>
      </c>
      <c r="I5" s="36">
        <f>($N$4-E5)*J5+($O$4-F5)*K5+($P$4-G5)*L5</f>
        <v>0</v>
      </c>
      <c r="J5" s="37">
        <f>IF(D5="攻撃",500,250)</f>
        <v>250</v>
      </c>
      <c r="K5" s="37">
        <f t="shared" ref="K5:K33" si="0">IF(D5="会心",500,250)</f>
        <v>250</v>
      </c>
      <c r="L5" s="39">
        <f t="shared" ref="L5:L33" si="1">IF(D5="属性",500,250)</f>
        <v>500</v>
      </c>
    </row>
    <row r="6" spans="1:40" ht="20" customHeight="1" thickTop="1" thickBot="1" x14ac:dyDescent="0.3">
      <c r="B6" s="40"/>
      <c r="C6" s="11"/>
      <c r="D6" s="15" t="s">
        <v>6</v>
      </c>
      <c r="E6" s="13"/>
      <c r="F6" s="3"/>
      <c r="G6" s="4"/>
      <c r="H6" s="7">
        <f t="shared" ref="H6:H61" si="2">INT(I6/1500)</f>
        <v>0</v>
      </c>
      <c r="I6" s="9">
        <f t="shared" ref="I6:I33" si="3">($N$4-E6)*J6+($O$4-F6)*K6+($P$4-G6)*L6</f>
        <v>0</v>
      </c>
      <c r="J6" s="10">
        <f t="shared" ref="J6:J33" si="4">IF(D6="攻撃",500,250)</f>
        <v>250</v>
      </c>
      <c r="K6" s="10">
        <f t="shared" si="0"/>
        <v>250</v>
      </c>
      <c r="L6" s="41">
        <f t="shared" si="1"/>
        <v>500</v>
      </c>
    </row>
    <row r="7" spans="1:40" ht="20" customHeight="1" thickTop="1" thickBot="1" x14ac:dyDescent="0.3">
      <c r="B7" s="40"/>
      <c r="C7" s="11"/>
      <c r="D7" s="15" t="s">
        <v>6</v>
      </c>
      <c r="E7" s="13"/>
      <c r="F7" s="3"/>
      <c r="G7" s="4"/>
      <c r="H7" s="7">
        <f t="shared" si="2"/>
        <v>0</v>
      </c>
      <c r="I7" s="9">
        <f t="shared" si="3"/>
        <v>0</v>
      </c>
      <c r="J7" s="10">
        <f t="shared" si="4"/>
        <v>250</v>
      </c>
      <c r="K7" s="10">
        <f t="shared" si="0"/>
        <v>250</v>
      </c>
      <c r="L7" s="41">
        <f t="shared" si="1"/>
        <v>500</v>
      </c>
    </row>
    <row r="8" spans="1:40" ht="20" customHeight="1" thickTop="1" thickBot="1" x14ac:dyDescent="0.3">
      <c r="B8" s="40"/>
      <c r="C8" s="11"/>
      <c r="D8" s="15" t="s">
        <v>6</v>
      </c>
      <c r="E8" s="13"/>
      <c r="F8" s="3"/>
      <c r="G8" s="4"/>
      <c r="H8" s="7">
        <f t="shared" si="2"/>
        <v>0</v>
      </c>
      <c r="I8" s="9">
        <f t="shared" si="3"/>
        <v>0</v>
      </c>
      <c r="J8" s="10">
        <f t="shared" si="4"/>
        <v>250</v>
      </c>
      <c r="K8" s="10">
        <f t="shared" si="0"/>
        <v>250</v>
      </c>
      <c r="L8" s="41">
        <f t="shared" si="1"/>
        <v>500</v>
      </c>
    </row>
    <row r="9" spans="1:40" ht="20" customHeight="1" thickTop="1" thickBot="1" x14ac:dyDescent="0.3">
      <c r="B9" s="40"/>
      <c r="C9" s="11"/>
      <c r="D9" s="15" t="s">
        <v>6</v>
      </c>
      <c r="E9" s="13"/>
      <c r="F9" s="3"/>
      <c r="G9" s="4"/>
      <c r="H9" s="7">
        <f t="shared" si="2"/>
        <v>0</v>
      </c>
      <c r="I9" s="9">
        <f t="shared" si="3"/>
        <v>0</v>
      </c>
      <c r="J9" s="10">
        <f t="shared" si="4"/>
        <v>250</v>
      </c>
      <c r="K9" s="10">
        <f t="shared" si="0"/>
        <v>250</v>
      </c>
      <c r="L9" s="41">
        <f t="shared" si="1"/>
        <v>500</v>
      </c>
    </row>
    <row r="10" spans="1:40" ht="20" customHeight="1" thickTop="1" thickBot="1" x14ac:dyDescent="0.3">
      <c r="B10" s="40"/>
      <c r="C10" s="11"/>
      <c r="D10" s="15" t="s">
        <v>6</v>
      </c>
      <c r="E10" s="13"/>
      <c r="F10" s="3"/>
      <c r="G10" s="4"/>
      <c r="H10" s="7">
        <f t="shared" si="2"/>
        <v>0</v>
      </c>
      <c r="I10" s="9">
        <f t="shared" si="3"/>
        <v>0</v>
      </c>
      <c r="J10" s="10">
        <f t="shared" si="4"/>
        <v>250</v>
      </c>
      <c r="K10" s="10">
        <f t="shared" si="0"/>
        <v>250</v>
      </c>
      <c r="L10" s="41">
        <f t="shared" si="1"/>
        <v>500</v>
      </c>
    </row>
    <row r="11" spans="1:40" ht="20" customHeight="1" thickTop="1" thickBot="1" x14ac:dyDescent="0.3">
      <c r="B11" s="40"/>
      <c r="C11" s="58"/>
      <c r="D11" s="15" t="s">
        <v>6</v>
      </c>
      <c r="E11" s="13"/>
      <c r="F11" s="3"/>
      <c r="G11" s="4"/>
      <c r="H11" s="7">
        <f t="shared" si="2"/>
        <v>0</v>
      </c>
      <c r="I11" s="9">
        <f t="shared" si="3"/>
        <v>0</v>
      </c>
      <c r="J11" s="10">
        <f t="shared" si="4"/>
        <v>250</v>
      </c>
      <c r="K11" s="10">
        <f t="shared" si="0"/>
        <v>250</v>
      </c>
      <c r="L11" s="41">
        <f t="shared" si="1"/>
        <v>500</v>
      </c>
    </row>
    <row r="12" spans="1:40" ht="20" customHeight="1" thickTop="1" thickBot="1" x14ac:dyDescent="0.3">
      <c r="B12" s="40"/>
      <c r="C12" s="57"/>
      <c r="D12" s="15" t="s">
        <v>6</v>
      </c>
      <c r="E12" s="59"/>
      <c r="F12" s="60"/>
      <c r="G12" s="61"/>
      <c r="H12" s="62">
        <f t="shared" si="2"/>
        <v>0</v>
      </c>
      <c r="I12" s="9">
        <f t="shared" si="3"/>
        <v>0</v>
      </c>
      <c r="J12" s="10">
        <f t="shared" si="4"/>
        <v>250</v>
      </c>
      <c r="K12" s="10">
        <f t="shared" si="0"/>
        <v>250</v>
      </c>
      <c r="L12" s="41">
        <f t="shared" si="1"/>
        <v>500</v>
      </c>
    </row>
    <row r="13" spans="1:40" ht="20" customHeight="1" thickTop="1" thickBot="1" x14ac:dyDescent="0.3">
      <c r="B13" s="40"/>
      <c r="C13" s="12"/>
      <c r="D13" s="15" t="s">
        <v>6</v>
      </c>
      <c r="E13" s="14"/>
      <c r="F13" s="5"/>
      <c r="G13" s="6"/>
      <c r="H13" s="8">
        <f t="shared" si="2"/>
        <v>0</v>
      </c>
      <c r="I13" s="9">
        <f t="shared" si="3"/>
        <v>0</v>
      </c>
      <c r="J13" s="10">
        <f t="shared" si="4"/>
        <v>250</v>
      </c>
      <c r="K13" s="10">
        <f t="shared" si="0"/>
        <v>250</v>
      </c>
      <c r="L13" s="41">
        <f t="shared" si="1"/>
        <v>500</v>
      </c>
    </row>
    <row r="14" spans="1:40" ht="20" customHeight="1" thickTop="1" thickBot="1" x14ac:dyDescent="0.3">
      <c r="B14" s="40"/>
      <c r="C14" s="12"/>
      <c r="D14" s="15" t="s">
        <v>6</v>
      </c>
      <c r="E14" s="14"/>
      <c r="F14" s="5"/>
      <c r="G14" s="6"/>
      <c r="H14" s="8">
        <f t="shared" si="2"/>
        <v>0</v>
      </c>
      <c r="I14" s="9">
        <f t="shared" si="3"/>
        <v>0</v>
      </c>
      <c r="J14" s="10">
        <f t="shared" si="4"/>
        <v>250</v>
      </c>
      <c r="K14" s="10">
        <f t="shared" si="0"/>
        <v>250</v>
      </c>
      <c r="L14" s="41">
        <f t="shared" si="1"/>
        <v>500</v>
      </c>
    </row>
    <row r="15" spans="1:40" ht="20" customHeight="1" thickTop="1" thickBot="1" x14ac:dyDescent="0.3">
      <c r="B15" s="42"/>
      <c r="C15" s="12"/>
      <c r="D15" s="15" t="s">
        <v>6</v>
      </c>
      <c r="E15" s="14"/>
      <c r="F15" s="5"/>
      <c r="G15" s="6"/>
      <c r="H15" s="8">
        <f t="shared" si="2"/>
        <v>0</v>
      </c>
      <c r="I15" s="9">
        <f t="shared" si="3"/>
        <v>0</v>
      </c>
      <c r="J15" s="10">
        <f t="shared" si="4"/>
        <v>250</v>
      </c>
      <c r="K15" s="10">
        <f t="shared" si="0"/>
        <v>250</v>
      </c>
      <c r="L15" s="41">
        <f t="shared" si="1"/>
        <v>500</v>
      </c>
    </row>
    <row r="16" spans="1:40" ht="20" customHeight="1" thickTop="1" thickBot="1" x14ac:dyDescent="0.3">
      <c r="B16" s="42"/>
      <c r="C16" s="12"/>
      <c r="D16" s="15" t="s">
        <v>6</v>
      </c>
      <c r="E16" s="14"/>
      <c r="F16" s="5"/>
      <c r="G16" s="6"/>
      <c r="H16" s="8">
        <f t="shared" si="2"/>
        <v>0</v>
      </c>
      <c r="I16" s="9">
        <f t="shared" si="3"/>
        <v>0</v>
      </c>
      <c r="J16" s="10">
        <f t="shared" si="4"/>
        <v>250</v>
      </c>
      <c r="K16" s="10">
        <f t="shared" si="0"/>
        <v>250</v>
      </c>
      <c r="L16" s="41">
        <f t="shared" si="1"/>
        <v>500</v>
      </c>
    </row>
    <row r="17" spans="2:12" ht="20" customHeight="1" thickTop="1" thickBot="1" x14ac:dyDescent="0.3">
      <c r="B17" s="43"/>
      <c r="C17" s="12"/>
      <c r="D17" s="15" t="s">
        <v>6</v>
      </c>
      <c r="E17" s="14"/>
      <c r="F17" s="5"/>
      <c r="G17" s="6"/>
      <c r="H17" s="8">
        <f t="shared" si="2"/>
        <v>0</v>
      </c>
      <c r="I17" s="9">
        <f t="shared" si="3"/>
        <v>0</v>
      </c>
      <c r="J17" s="10">
        <f t="shared" si="4"/>
        <v>250</v>
      </c>
      <c r="K17" s="10">
        <f t="shared" si="0"/>
        <v>250</v>
      </c>
      <c r="L17" s="41">
        <f t="shared" si="1"/>
        <v>500</v>
      </c>
    </row>
    <row r="18" spans="2:12" ht="20" customHeight="1" thickTop="1" thickBot="1" x14ac:dyDescent="0.3">
      <c r="B18" s="43"/>
      <c r="C18" s="12"/>
      <c r="D18" s="15" t="s">
        <v>6</v>
      </c>
      <c r="E18" s="14"/>
      <c r="F18" s="5"/>
      <c r="G18" s="6"/>
      <c r="H18" s="8">
        <f t="shared" si="2"/>
        <v>0</v>
      </c>
      <c r="I18" s="9">
        <f t="shared" si="3"/>
        <v>0</v>
      </c>
      <c r="J18" s="10">
        <f t="shared" si="4"/>
        <v>250</v>
      </c>
      <c r="K18" s="10">
        <f t="shared" si="0"/>
        <v>250</v>
      </c>
      <c r="L18" s="41">
        <f t="shared" si="1"/>
        <v>500</v>
      </c>
    </row>
    <row r="19" spans="2:12" ht="20" customHeight="1" thickTop="1" thickBot="1" x14ac:dyDescent="0.3">
      <c r="B19" s="43"/>
      <c r="C19" s="12"/>
      <c r="D19" s="15" t="s">
        <v>6</v>
      </c>
      <c r="E19" s="14"/>
      <c r="F19" s="5"/>
      <c r="G19" s="6"/>
      <c r="H19" s="8">
        <f t="shared" si="2"/>
        <v>0</v>
      </c>
      <c r="I19" s="9">
        <f t="shared" si="3"/>
        <v>0</v>
      </c>
      <c r="J19" s="10">
        <f t="shared" si="4"/>
        <v>250</v>
      </c>
      <c r="K19" s="10">
        <f t="shared" si="0"/>
        <v>250</v>
      </c>
      <c r="L19" s="41">
        <f t="shared" si="1"/>
        <v>500</v>
      </c>
    </row>
    <row r="20" spans="2:12" ht="20" customHeight="1" thickTop="1" thickBot="1" x14ac:dyDescent="0.3">
      <c r="B20" s="43"/>
      <c r="C20" s="12"/>
      <c r="D20" s="15" t="s">
        <v>6</v>
      </c>
      <c r="E20" s="14"/>
      <c r="F20" s="5"/>
      <c r="G20" s="6"/>
      <c r="H20" s="8">
        <f t="shared" si="2"/>
        <v>0</v>
      </c>
      <c r="I20" s="9">
        <f t="shared" si="3"/>
        <v>0</v>
      </c>
      <c r="J20" s="10">
        <f t="shared" si="4"/>
        <v>250</v>
      </c>
      <c r="K20" s="10">
        <f t="shared" si="0"/>
        <v>250</v>
      </c>
      <c r="L20" s="41">
        <f t="shared" si="1"/>
        <v>500</v>
      </c>
    </row>
    <row r="21" spans="2:12" ht="20" customHeight="1" thickTop="1" thickBot="1" x14ac:dyDescent="0.3">
      <c r="B21" s="43"/>
      <c r="C21" s="12"/>
      <c r="D21" s="15" t="s">
        <v>6</v>
      </c>
      <c r="E21" s="14"/>
      <c r="F21" s="5"/>
      <c r="G21" s="6"/>
      <c r="H21" s="8">
        <f t="shared" si="2"/>
        <v>0</v>
      </c>
      <c r="I21" s="9">
        <f t="shared" si="3"/>
        <v>0</v>
      </c>
      <c r="J21" s="10">
        <f t="shared" si="4"/>
        <v>250</v>
      </c>
      <c r="K21" s="10">
        <f t="shared" si="0"/>
        <v>250</v>
      </c>
      <c r="L21" s="41">
        <f t="shared" si="1"/>
        <v>500</v>
      </c>
    </row>
    <row r="22" spans="2:12" ht="20" customHeight="1" thickTop="1" thickBot="1" x14ac:dyDescent="0.3">
      <c r="B22" s="43"/>
      <c r="C22" s="12"/>
      <c r="D22" s="15" t="s">
        <v>6</v>
      </c>
      <c r="E22" s="14"/>
      <c r="F22" s="5"/>
      <c r="G22" s="6"/>
      <c r="H22" s="8">
        <f t="shared" si="2"/>
        <v>0</v>
      </c>
      <c r="I22" s="9">
        <f t="shared" si="3"/>
        <v>0</v>
      </c>
      <c r="J22" s="10">
        <f t="shared" si="4"/>
        <v>250</v>
      </c>
      <c r="K22" s="10">
        <f t="shared" si="0"/>
        <v>250</v>
      </c>
      <c r="L22" s="41">
        <f t="shared" si="1"/>
        <v>500</v>
      </c>
    </row>
    <row r="23" spans="2:12" ht="20" customHeight="1" thickTop="1" thickBot="1" x14ac:dyDescent="0.3">
      <c r="B23" s="43"/>
      <c r="C23" s="12"/>
      <c r="D23" s="15" t="s">
        <v>6</v>
      </c>
      <c r="E23" s="14"/>
      <c r="F23" s="5"/>
      <c r="G23" s="6"/>
      <c r="H23" s="8">
        <f t="shared" si="2"/>
        <v>0</v>
      </c>
      <c r="I23" s="9">
        <f t="shared" si="3"/>
        <v>0</v>
      </c>
      <c r="J23" s="10">
        <f t="shared" si="4"/>
        <v>250</v>
      </c>
      <c r="K23" s="10">
        <f t="shared" si="0"/>
        <v>250</v>
      </c>
      <c r="L23" s="41">
        <f t="shared" si="1"/>
        <v>500</v>
      </c>
    </row>
    <row r="24" spans="2:12" ht="20" customHeight="1" thickTop="1" thickBot="1" x14ac:dyDescent="0.3">
      <c r="B24" s="43"/>
      <c r="C24" s="12"/>
      <c r="D24" s="15" t="s">
        <v>6</v>
      </c>
      <c r="E24" s="14"/>
      <c r="F24" s="5"/>
      <c r="G24" s="6"/>
      <c r="H24" s="8">
        <f t="shared" si="2"/>
        <v>0</v>
      </c>
      <c r="I24" s="9">
        <f t="shared" si="3"/>
        <v>0</v>
      </c>
      <c r="J24" s="10">
        <f t="shared" si="4"/>
        <v>250</v>
      </c>
      <c r="K24" s="10">
        <f t="shared" si="0"/>
        <v>250</v>
      </c>
      <c r="L24" s="41">
        <f t="shared" si="1"/>
        <v>500</v>
      </c>
    </row>
    <row r="25" spans="2:12" ht="20" customHeight="1" thickTop="1" thickBot="1" x14ac:dyDescent="0.3">
      <c r="B25" s="43"/>
      <c r="C25" s="12"/>
      <c r="D25" s="15" t="s">
        <v>6</v>
      </c>
      <c r="E25" s="14"/>
      <c r="F25" s="5"/>
      <c r="G25" s="6"/>
      <c r="H25" s="8">
        <f t="shared" si="2"/>
        <v>0</v>
      </c>
      <c r="I25" s="9">
        <f t="shared" si="3"/>
        <v>0</v>
      </c>
      <c r="J25" s="10">
        <f t="shared" si="4"/>
        <v>250</v>
      </c>
      <c r="K25" s="10">
        <f t="shared" si="0"/>
        <v>250</v>
      </c>
      <c r="L25" s="41">
        <f t="shared" si="1"/>
        <v>500</v>
      </c>
    </row>
    <row r="26" spans="2:12" ht="20" customHeight="1" thickTop="1" thickBot="1" x14ac:dyDescent="0.3">
      <c r="B26" s="43"/>
      <c r="C26" s="12"/>
      <c r="D26" s="15" t="s">
        <v>6</v>
      </c>
      <c r="E26" s="14"/>
      <c r="F26" s="5"/>
      <c r="G26" s="6"/>
      <c r="H26" s="8">
        <f t="shared" si="2"/>
        <v>0</v>
      </c>
      <c r="I26" s="9">
        <f t="shared" si="3"/>
        <v>0</v>
      </c>
      <c r="J26" s="10">
        <f t="shared" si="4"/>
        <v>250</v>
      </c>
      <c r="K26" s="10">
        <f t="shared" si="0"/>
        <v>250</v>
      </c>
      <c r="L26" s="41">
        <f t="shared" si="1"/>
        <v>500</v>
      </c>
    </row>
    <row r="27" spans="2:12" ht="20" customHeight="1" thickTop="1" thickBot="1" x14ac:dyDescent="0.3">
      <c r="B27" s="43"/>
      <c r="C27" s="12"/>
      <c r="D27" s="15" t="s">
        <v>6</v>
      </c>
      <c r="E27" s="14"/>
      <c r="F27" s="5"/>
      <c r="G27" s="6"/>
      <c r="H27" s="8">
        <f t="shared" si="2"/>
        <v>0</v>
      </c>
      <c r="I27" s="9">
        <f t="shared" si="3"/>
        <v>0</v>
      </c>
      <c r="J27" s="10">
        <f t="shared" si="4"/>
        <v>250</v>
      </c>
      <c r="K27" s="10">
        <f t="shared" si="0"/>
        <v>250</v>
      </c>
      <c r="L27" s="41">
        <f t="shared" si="1"/>
        <v>500</v>
      </c>
    </row>
    <row r="28" spans="2:12" ht="20" customHeight="1" thickTop="1" thickBot="1" x14ac:dyDescent="0.3">
      <c r="B28" s="43"/>
      <c r="C28" s="12"/>
      <c r="D28" s="15" t="s">
        <v>6</v>
      </c>
      <c r="E28" s="14"/>
      <c r="F28" s="5"/>
      <c r="G28" s="6"/>
      <c r="H28" s="8">
        <f t="shared" si="2"/>
        <v>0</v>
      </c>
      <c r="I28" s="9">
        <f t="shared" si="3"/>
        <v>0</v>
      </c>
      <c r="J28" s="10">
        <f t="shared" si="4"/>
        <v>250</v>
      </c>
      <c r="K28" s="10">
        <f t="shared" si="0"/>
        <v>250</v>
      </c>
      <c r="L28" s="41">
        <f t="shared" si="1"/>
        <v>500</v>
      </c>
    </row>
    <row r="29" spans="2:12" ht="20" customHeight="1" thickTop="1" thickBot="1" x14ac:dyDescent="0.3">
      <c r="B29" s="43"/>
      <c r="C29" s="12"/>
      <c r="D29" s="15" t="s">
        <v>6</v>
      </c>
      <c r="E29" s="14"/>
      <c r="F29" s="5"/>
      <c r="G29" s="6"/>
      <c r="H29" s="8">
        <f t="shared" si="2"/>
        <v>0</v>
      </c>
      <c r="I29" s="9">
        <f t="shared" si="3"/>
        <v>0</v>
      </c>
      <c r="J29" s="10">
        <f t="shared" si="4"/>
        <v>250</v>
      </c>
      <c r="K29" s="10">
        <f t="shared" si="0"/>
        <v>250</v>
      </c>
      <c r="L29" s="41">
        <f t="shared" si="1"/>
        <v>500</v>
      </c>
    </row>
    <row r="30" spans="2:12" ht="20" customHeight="1" thickTop="1" thickBot="1" x14ac:dyDescent="0.3">
      <c r="B30" s="43"/>
      <c r="C30" s="12"/>
      <c r="D30" s="15" t="s">
        <v>6</v>
      </c>
      <c r="E30" s="14"/>
      <c r="F30" s="5"/>
      <c r="G30" s="6"/>
      <c r="H30" s="8">
        <f t="shared" si="2"/>
        <v>0</v>
      </c>
      <c r="I30" s="9">
        <f t="shared" si="3"/>
        <v>0</v>
      </c>
      <c r="J30" s="10">
        <f t="shared" si="4"/>
        <v>250</v>
      </c>
      <c r="K30" s="10">
        <f t="shared" si="0"/>
        <v>250</v>
      </c>
      <c r="L30" s="41">
        <f t="shared" si="1"/>
        <v>500</v>
      </c>
    </row>
    <row r="31" spans="2:12" ht="20" customHeight="1" thickTop="1" thickBot="1" x14ac:dyDescent="0.3">
      <c r="B31" s="43"/>
      <c r="C31" s="12"/>
      <c r="D31" s="15" t="s">
        <v>6</v>
      </c>
      <c r="E31" s="14"/>
      <c r="F31" s="5"/>
      <c r="G31" s="6"/>
      <c r="H31" s="8">
        <f t="shared" si="2"/>
        <v>0</v>
      </c>
      <c r="I31" s="9">
        <f t="shared" si="3"/>
        <v>0</v>
      </c>
      <c r="J31" s="10">
        <f t="shared" si="4"/>
        <v>250</v>
      </c>
      <c r="K31" s="10">
        <f t="shared" si="0"/>
        <v>250</v>
      </c>
      <c r="L31" s="41">
        <f t="shared" si="1"/>
        <v>500</v>
      </c>
    </row>
    <row r="32" spans="2:12" ht="20" customHeight="1" thickTop="1" thickBot="1" x14ac:dyDescent="0.3">
      <c r="B32" s="43"/>
      <c r="C32" s="12"/>
      <c r="D32" s="15" t="s">
        <v>6</v>
      </c>
      <c r="E32" s="14"/>
      <c r="F32" s="5"/>
      <c r="G32" s="6"/>
      <c r="H32" s="8">
        <f t="shared" si="2"/>
        <v>0</v>
      </c>
      <c r="I32" s="9">
        <f t="shared" si="3"/>
        <v>0</v>
      </c>
      <c r="J32" s="10">
        <f t="shared" si="4"/>
        <v>250</v>
      </c>
      <c r="K32" s="10">
        <f t="shared" si="0"/>
        <v>250</v>
      </c>
      <c r="L32" s="41">
        <f t="shared" si="1"/>
        <v>500</v>
      </c>
    </row>
    <row r="33" spans="2:12" ht="20" customHeight="1" thickTop="1" thickBot="1" x14ac:dyDescent="0.3">
      <c r="B33" s="44"/>
      <c r="C33" s="19"/>
      <c r="D33" s="20" t="s">
        <v>6</v>
      </c>
      <c r="E33" s="21"/>
      <c r="F33" s="22"/>
      <c r="G33" s="23"/>
      <c r="H33" s="24">
        <f t="shared" si="2"/>
        <v>0</v>
      </c>
      <c r="I33" s="25">
        <f t="shared" si="3"/>
        <v>0</v>
      </c>
      <c r="J33" s="26">
        <f t="shared" si="4"/>
        <v>250</v>
      </c>
      <c r="K33" s="26">
        <f t="shared" si="0"/>
        <v>250</v>
      </c>
      <c r="L33" s="45">
        <f t="shared" si="1"/>
        <v>500</v>
      </c>
    </row>
    <row r="34" spans="2:12" ht="20" customHeight="1" thickTop="1" thickBot="1" x14ac:dyDescent="0.3">
      <c r="B34" s="44"/>
      <c r="C34" s="19"/>
      <c r="D34" s="20" t="s">
        <v>6</v>
      </c>
      <c r="E34" s="21"/>
      <c r="F34" s="22"/>
      <c r="G34" s="23"/>
      <c r="H34" s="24">
        <f t="shared" si="2"/>
        <v>0</v>
      </c>
      <c r="I34" s="25">
        <f t="shared" ref="I34:I61" si="5">($N$4-E34)*J34+($O$4-F34)*K34+($P$4-G34)*L34</f>
        <v>0</v>
      </c>
      <c r="J34" s="26">
        <f t="shared" ref="J34:J61" si="6">IF(D34="攻撃",500,250)</f>
        <v>250</v>
      </c>
      <c r="K34" s="26">
        <f t="shared" ref="K34:K61" si="7">IF(D34="会心",500,250)</f>
        <v>250</v>
      </c>
      <c r="L34" s="45">
        <f t="shared" ref="L34:L61" si="8">IF(D34="属性",500,250)</f>
        <v>500</v>
      </c>
    </row>
    <row r="35" spans="2:12" ht="20" customHeight="1" thickTop="1" thickBot="1" x14ac:dyDescent="0.3">
      <c r="B35" s="44"/>
      <c r="C35" s="19"/>
      <c r="D35" s="20" t="s">
        <v>6</v>
      </c>
      <c r="E35" s="21"/>
      <c r="F35" s="22"/>
      <c r="G35" s="23"/>
      <c r="H35" s="24">
        <f t="shared" si="2"/>
        <v>0</v>
      </c>
      <c r="I35" s="25">
        <f t="shared" si="5"/>
        <v>0</v>
      </c>
      <c r="J35" s="26">
        <f t="shared" si="6"/>
        <v>250</v>
      </c>
      <c r="K35" s="26">
        <f t="shared" si="7"/>
        <v>250</v>
      </c>
      <c r="L35" s="45">
        <f t="shared" si="8"/>
        <v>500</v>
      </c>
    </row>
    <row r="36" spans="2:12" ht="20" customHeight="1" thickTop="1" thickBot="1" x14ac:dyDescent="0.3">
      <c r="B36" s="44"/>
      <c r="C36" s="19"/>
      <c r="D36" s="20" t="s">
        <v>6</v>
      </c>
      <c r="E36" s="21"/>
      <c r="F36" s="22"/>
      <c r="G36" s="23"/>
      <c r="H36" s="24">
        <f t="shared" si="2"/>
        <v>0</v>
      </c>
      <c r="I36" s="25">
        <f t="shared" si="5"/>
        <v>0</v>
      </c>
      <c r="J36" s="26">
        <f t="shared" si="6"/>
        <v>250</v>
      </c>
      <c r="K36" s="26">
        <f t="shared" si="7"/>
        <v>250</v>
      </c>
      <c r="L36" s="45">
        <f t="shared" si="8"/>
        <v>500</v>
      </c>
    </row>
    <row r="37" spans="2:12" ht="20" customHeight="1" thickTop="1" thickBot="1" x14ac:dyDescent="0.3">
      <c r="B37" s="44"/>
      <c r="C37" s="19"/>
      <c r="D37" s="20" t="s">
        <v>6</v>
      </c>
      <c r="E37" s="21"/>
      <c r="F37" s="22"/>
      <c r="G37" s="23"/>
      <c r="H37" s="24">
        <f t="shared" si="2"/>
        <v>0</v>
      </c>
      <c r="I37" s="25">
        <f t="shared" si="5"/>
        <v>0</v>
      </c>
      <c r="J37" s="26">
        <f t="shared" si="6"/>
        <v>250</v>
      </c>
      <c r="K37" s="26">
        <f t="shared" si="7"/>
        <v>250</v>
      </c>
      <c r="L37" s="45">
        <f t="shared" si="8"/>
        <v>500</v>
      </c>
    </row>
    <row r="38" spans="2:12" ht="20" customHeight="1" thickTop="1" thickBot="1" x14ac:dyDescent="0.3">
      <c r="B38" s="44"/>
      <c r="C38" s="19"/>
      <c r="D38" s="20" t="s">
        <v>6</v>
      </c>
      <c r="E38" s="21"/>
      <c r="F38" s="22"/>
      <c r="G38" s="23"/>
      <c r="H38" s="24">
        <f t="shared" si="2"/>
        <v>0</v>
      </c>
      <c r="I38" s="25">
        <f t="shared" si="5"/>
        <v>0</v>
      </c>
      <c r="J38" s="26">
        <f t="shared" si="6"/>
        <v>250</v>
      </c>
      <c r="K38" s="26">
        <f t="shared" si="7"/>
        <v>250</v>
      </c>
      <c r="L38" s="45">
        <f t="shared" si="8"/>
        <v>500</v>
      </c>
    </row>
    <row r="39" spans="2:12" ht="20" customHeight="1" thickTop="1" thickBot="1" x14ac:dyDescent="0.3">
      <c r="B39" s="44"/>
      <c r="C39" s="19"/>
      <c r="D39" s="20" t="s">
        <v>6</v>
      </c>
      <c r="E39" s="21"/>
      <c r="F39" s="22"/>
      <c r="G39" s="23"/>
      <c r="H39" s="24">
        <f t="shared" si="2"/>
        <v>0</v>
      </c>
      <c r="I39" s="25">
        <f t="shared" si="5"/>
        <v>0</v>
      </c>
      <c r="J39" s="26">
        <f t="shared" si="6"/>
        <v>250</v>
      </c>
      <c r="K39" s="26">
        <f t="shared" si="7"/>
        <v>250</v>
      </c>
      <c r="L39" s="45">
        <f t="shared" si="8"/>
        <v>500</v>
      </c>
    </row>
    <row r="40" spans="2:12" ht="20" customHeight="1" thickTop="1" thickBot="1" x14ac:dyDescent="0.3">
      <c r="B40" s="44"/>
      <c r="C40" s="19"/>
      <c r="D40" s="20" t="s">
        <v>6</v>
      </c>
      <c r="E40" s="21"/>
      <c r="F40" s="22"/>
      <c r="G40" s="23"/>
      <c r="H40" s="24">
        <f t="shared" si="2"/>
        <v>0</v>
      </c>
      <c r="I40" s="25">
        <f t="shared" si="5"/>
        <v>0</v>
      </c>
      <c r="J40" s="26">
        <f t="shared" si="6"/>
        <v>250</v>
      </c>
      <c r="K40" s="26">
        <f t="shared" si="7"/>
        <v>250</v>
      </c>
      <c r="L40" s="45">
        <f t="shared" si="8"/>
        <v>500</v>
      </c>
    </row>
    <row r="41" spans="2:12" ht="20" customHeight="1" thickTop="1" thickBot="1" x14ac:dyDescent="0.3">
      <c r="B41" s="44"/>
      <c r="C41" s="19"/>
      <c r="D41" s="20" t="s">
        <v>6</v>
      </c>
      <c r="E41" s="21"/>
      <c r="F41" s="22"/>
      <c r="G41" s="23"/>
      <c r="H41" s="24">
        <f t="shared" si="2"/>
        <v>0</v>
      </c>
      <c r="I41" s="25">
        <f t="shared" si="5"/>
        <v>0</v>
      </c>
      <c r="J41" s="26">
        <f t="shared" si="6"/>
        <v>250</v>
      </c>
      <c r="K41" s="26">
        <f t="shared" si="7"/>
        <v>250</v>
      </c>
      <c r="L41" s="45">
        <f t="shared" si="8"/>
        <v>500</v>
      </c>
    </row>
    <row r="42" spans="2:12" ht="20" customHeight="1" thickTop="1" thickBot="1" x14ac:dyDescent="0.3">
      <c r="B42" s="44"/>
      <c r="C42" s="19"/>
      <c r="D42" s="20" t="s">
        <v>6</v>
      </c>
      <c r="E42" s="21"/>
      <c r="F42" s="22"/>
      <c r="G42" s="23"/>
      <c r="H42" s="24">
        <f t="shared" si="2"/>
        <v>0</v>
      </c>
      <c r="I42" s="25">
        <f t="shared" si="5"/>
        <v>0</v>
      </c>
      <c r="J42" s="26">
        <f t="shared" si="6"/>
        <v>250</v>
      </c>
      <c r="K42" s="26">
        <f t="shared" si="7"/>
        <v>250</v>
      </c>
      <c r="L42" s="45">
        <f t="shared" si="8"/>
        <v>500</v>
      </c>
    </row>
    <row r="43" spans="2:12" ht="20" customHeight="1" thickTop="1" thickBot="1" x14ac:dyDescent="0.3">
      <c r="B43" s="44"/>
      <c r="C43" s="19"/>
      <c r="D43" s="20" t="s">
        <v>6</v>
      </c>
      <c r="E43" s="21"/>
      <c r="F43" s="22"/>
      <c r="G43" s="23"/>
      <c r="H43" s="24">
        <f t="shared" si="2"/>
        <v>0</v>
      </c>
      <c r="I43" s="25">
        <f t="shared" si="5"/>
        <v>0</v>
      </c>
      <c r="J43" s="26">
        <f t="shared" si="6"/>
        <v>250</v>
      </c>
      <c r="K43" s="26">
        <f t="shared" si="7"/>
        <v>250</v>
      </c>
      <c r="L43" s="45">
        <f t="shared" si="8"/>
        <v>500</v>
      </c>
    </row>
    <row r="44" spans="2:12" ht="20" customHeight="1" thickTop="1" thickBot="1" x14ac:dyDescent="0.3">
      <c r="B44" s="44"/>
      <c r="C44" s="19"/>
      <c r="D44" s="20" t="s">
        <v>6</v>
      </c>
      <c r="E44" s="21"/>
      <c r="F44" s="22"/>
      <c r="G44" s="23"/>
      <c r="H44" s="24">
        <f t="shared" si="2"/>
        <v>0</v>
      </c>
      <c r="I44" s="25">
        <f t="shared" si="5"/>
        <v>0</v>
      </c>
      <c r="J44" s="26">
        <f t="shared" si="6"/>
        <v>250</v>
      </c>
      <c r="K44" s="26">
        <f t="shared" si="7"/>
        <v>250</v>
      </c>
      <c r="L44" s="45">
        <f t="shared" si="8"/>
        <v>500</v>
      </c>
    </row>
    <row r="45" spans="2:12" ht="20" customHeight="1" thickTop="1" thickBot="1" x14ac:dyDescent="0.3">
      <c r="B45" s="44"/>
      <c r="C45" s="19"/>
      <c r="D45" s="20" t="s">
        <v>6</v>
      </c>
      <c r="E45" s="21"/>
      <c r="F45" s="22"/>
      <c r="G45" s="23"/>
      <c r="H45" s="24">
        <f t="shared" si="2"/>
        <v>0</v>
      </c>
      <c r="I45" s="25">
        <f t="shared" si="5"/>
        <v>0</v>
      </c>
      <c r="J45" s="26">
        <f t="shared" si="6"/>
        <v>250</v>
      </c>
      <c r="K45" s="26">
        <f t="shared" si="7"/>
        <v>250</v>
      </c>
      <c r="L45" s="45">
        <f t="shared" si="8"/>
        <v>500</v>
      </c>
    </row>
    <row r="46" spans="2:12" ht="20" customHeight="1" thickTop="1" thickBot="1" x14ac:dyDescent="0.3">
      <c r="B46" s="44"/>
      <c r="C46" s="19"/>
      <c r="D46" s="20" t="s">
        <v>6</v>
      </c>
      <c r="E46" s="21"/>
      <c r="F46" s="22"/>
      <c r="G46" s="23"/>
      <c r="H46" s="24">
        <f t="shared" si="2"/>
        <v>0</v>
      </c>
      <c r="I46" s="25">
        <f t="shared" si="5"/>
        <v>0</v>
      </c>
      <c r="J46" s="26">
        <f t="shared" si="6"/>
        <v>250</v>
      </c>
      <c r="K46" s="26">
        <f t="shared" si="7"/>
        <v>250</v>
      </c>
      <c r="L46" s="45">
        <f t="shared" si="8"/>
        <v>500</v>
      </c>
    </row>
    <row r="47" spans="2:12" ht="20" customHeight="1" thickTop="1" thickBot="1" x14ac:dyDescent="0.3">
      <c r="B47" s="44"/>
      <c r="C47" s="19"/>
      <c r="D47" s="20" t="s">
        <v>6</v>
      </c>
      <c r="E47" s="21"/>
      <c r="F47" s="22"/>
      <c r="G47" s="23"/>
      <c r="H47" s="24">
        <f t="shared" si="2"/>
        <v>0</v>
      </c>
      <c r="I47" s="25">
        <f t="shared" si="5"/>
        <v>0</v>
      </c>
      <c r="J47" s="26">
        <f t="shared" si="6"/>
        <v>250</v>
      </c>
      <c r="K47" s="26">
        <f t="shared" si="7"/>
        <v>250</v>
      </c>
      <c r="L47" s="45">
        <f t="shared" si="8"/>
        <v>500</v>
      </c>
    </row>
    <row r="48" spans="2:12" ht="20" customHeight="1" thickTop="1" thickBot="1" x14ac:dyDescent="0.3">
      <c r="B48" s="44"/>
      <c r="C48" s="19"/>
      <c r="D48" s="20" t="s">
        <v>6</v>
      </c>
      <c r="E48" s="21"/>
      <c r="F48" s="22"/>
      <c r="G48" s="23"/>
      <c r="H48" s="24">
        <f t="shared" si="2"/>
        <v>0</v>
      </c>
      <c r="I48" s="25">
        <f t="shared" si="5"/>
        <v>0</v>
      </c>
      <c r="J48" s="26">
        <f t="shared" si="6"/>
        <v>250</v>
      </c>
      <c r="K48" s="26">
        <f t="shared" si="7"/>
        <v>250</v>
      </c>
      <c r="L48" s="45">
        <f t="shared" si="8"/>
        <v>500</v>
      </c>
    </row>
    <row r="49" spans="2:12" ht="20" customHeight="1" thickTop="1" thickBot="1" x14ac:dyDescent="0.3">
      <c r="B49" s="44"/>
      <c r="C49" s="19"/>
      <c r="D49" s="20" t="s">
        <v>6</v>
      </c>
      <c r="E49" s="21"/>
      <c r="F49" s="22"/>
      <c r="G49" s="23"/>
      <c r="H49" s="24">
        <f t="shared" si="2"/>
        <v>0</v>
      </c>
      <c r="I49" s="25">
        <f t="shared" si="5"/>
        <v>0</v>
      </c>
      <c r="J49" s="26">
        <f t="shared" si="6"/>
        <v>250</v>
      </c>
      <c r="K49" s="26">
        <f t="shared" si="7"/>
        <v>250</v>
      </c>
      <c r="L49" s="45">
        <f t="shared" si="8"/>
        <v>500</v>
      </c>
    </row>
    <row r="50" spans="2:12" ht="20" customHeight="1" thickTop="1" thickBot="1" x14ac:dyDescent="0.3">
      <c r="B50" s="44"/>
      <c r="C50" s="19"/>
      <c r="D50" s="20" t="s">
        <v>6</v>
      </c>
      <c r="E50" s="21"/>
      <c r="F50" s="22"/>
      <c r="G50" s="23"/>
      <c r="H50" s="24">
        <f t="shared" si="2"/>
        <v>0</v>
      </c>
      <c r="I50" s="25">
        <f t="shared" si="5"/>
        <v>0</v>
      </c>
      <c r="J50" s="26">
        <f t="shared" si="6"/>
        <v>250</v>
      </c>
      <c r="K50" s="26">
        <f t="shared" si="7"/>
        <v>250</v>
      </c>
      <c r="L50" s="45">
        <f t="shared" si="8"/>
        <v>500</v>
      </c>
    </row>
    <row r="51" spans="2:12" ht="20" customHeight="1" thickTop="1" thickBot="1" x14ac:dyDescent="0.3">
      <c r="B51" s="44"/>
      <c r="C51" s="19"/>
      <c r="D51" s="20" t="s">
        <v>6</v>
      </c>
      <c r="E51" s="21"/>
      <c r="F51" s="22"/>
      <c r="G51" s="23"/>
      <c r="H51" s="24">
        <f t="shared" si="2"/>
        <v>0</v>
      </c>
      <c r="I51" s="25">
        <f t="shared" si="5"/>
        <v>0</v>
      </c>
      <c r="J51" s="26">
        <f t="shared" si="6"/>
        <v>250</v>
      </c>
      <c r="K51" s="26">
        <f t="shared" si="7"/>
        <v>250</v>
      </c>
      <c r="L51" s="45">
        <f t="shared" si="8"/>
        <v>500</v>
      </c>
    </row>
    <row r="52" spans="2:12" ht="20" customHeight="1" thickTop="1" thickBot="1" x14ac:dyDescent="0.3">
      <c r="B52" s="44"/>
      <c r="C52" s="19"/>
      <c r="D52" s="20" t="s">
        <v>6</v>
      </c>
      <c r="E52" s="21"/>
      <c r="F52" s="22"/>
      <c r="G52" s="23"/>
      <c r="H52" s="24">
        <f t="shared" si="2"/>
        <v>0</v>
      </c>
      <c r="I52" s="25">
        <f t="shared" si="5"/>
        <v>0</v>
      </c>
      <c r="J52" s="26">
        <f t="shared" si="6"/>
        <v>250</v>
      </c>
      <c r="K52" s="26">
        <f t="shared" si="7"/>
        <v>250</v>
      </c>
      <c r="L52" s="45">
        <f t="shared" si="8"/>
        <v>500</v>
      </c>
    </row>
    <row r="53" spans="2:12" ht="20" customHeight="1" thickTop="1" thickBot="1" x14ac:dyDescent="0.3">
      <c r="B53" s="44"/>
      <c r="C53" s="19"/>
      <c r="D53" s="20" t="s">
        <v>6</v>
      </c>
      <c r="E53" s="21"/>
      <c r="F53" s="22"/>
      <c r="G53" s="23"/>
      <c r="H53" s="24">
        <f t="shared" si="2"/>
        <v>0</v>
      </c>
      <c r="I53" s="25">
        <f t="shared" si="5"/>
        <v>0</v>
      </c>
      <c r="J53" s="26">
        <f t="shared" si="6"/>
        <v>250</v>
      </c>
      <c r="K53" s="26">
        <f t="shared" si="7"/>
        <v>250</v>
      </c>
      <c r="L53" s="45">
        <f t="shared" si="8"/>
        <v>500</v>
      </c>
    </row>
    <row r="54" spans="2:12" ht="20" customHeight="1" thickTop="1" thickBot="1" x14ac:dyDescent="0.3">
      <c r="B54" s="44"/>
      <c r="C54" s="19"/>
      <c r="D54" s="20" t="s">
        <v>6</v>
      </c>
      <c r="E54" s="21"/>
      <c r="F54" s="22"/>
      <c r="G54" s="23"/>
      <c r="H54" s="24">
        <f t="shared" si="2"/>
        <v>0</v>
      </c>
      <c r="I54" s="25">
        <f t="shared" si="5"/>
        <v>0</v>
      </c>
      <c r="J54" s="26">
        <f t="shared" si="6"/>
        <v>250</v>
      </c>
      <c r="K54" s="26">
        <f t="shared" si="7"/>
        <v>250</v>
      </c>
      <c r="L54" s="45">
        <f t="shared" si="8"/>
        <v>500</v>
      </c>
    </row>
    <row r="55" spans="2:12" ht="20" customHeight="1" thickTop="1" thickBot="1" x14ac:dyDescent="0.3">
      <c r="B55" s="44"/>
      <c r="C55" s="19"/>
      <c r="D55" s="20" t="s">
        <v>6</v>
      </c>
      <c r="E55" s="21"/>
      <c r="F55" s="22"/>
      <c r="G55" s="23"/>
      <c r="H55" s="24">
        <f t="shared" si="2"/>
        <v>0</v>
      </c>
      <c r="I55" s="25">
        <f t="shared" si="5"/>
        <v>0</v>
      </c>
      <c r="J55" s="26">
        <f t="shared" si="6"/>
        <v>250</v>
      </c>
      <c r="K55" s="26">
        <f t="shared" si="7"/>
        <v>250</v>
      </c>
      <c r="L55" s="45">
        <f t="shared" si="8"/>
        <v>500</v>
      </c>
    </row>
    <row r="56" spans="2:12" ht="20" customHeight="1" thickTop="1" thickBot="1" x14ac:dyDescent="0.3">
      <c r="B56" s="44"/>
      <c r="C56" s="19"/>
      <c r="D56" s="20" t="s">
        <v>6</v>
      </c>
      <c r="E56" s="21"/>
      <c r="F56" s="22"/>
      <c r="G56" s="23"/>
      <c r="H56" s="24">
        <f t="shared" si="2"/>
        <v>0</v>
      </c>
      <c r="I56" s="25">
        <f t="shared" si="5"/>
        <v>0</v>
      </c>
      <c r="J56" s="26">
        <f t="shared" si="6"/>
        <v>250</v>
      </c>
      <c r="K56" s="26">
        <f t="shared" si="7"/>
        <v>250</v>
      </c>
      <c r="L56" s="45">
        <f t="shared" si="8"/>
        <v>500</v>
      </c>
    </row>
    <row r="57" spans="2:12" ht="20" customHeight="1" thickTop="1" thickBot="1" x14ac:dyDescent="0.3">
      <c r="B57" s="44"/>
      <c r="C57" s="19"/>
      <c r="D57" s="20" t="s">
        <v>6</v>
      </c>
      <c r="E57" s="21"/>
      <c r="F57" s="22"/>
      <c r="G57" s="23"/>
      <c r="H57" s="24">
        <f t="shared" si="2"/>
        <v>0</v>
      </c>
      <c r="I57" s="25">
        <f t="shared" si="5"/>
        <v>0</v>
      </c>
      <c r="J57" s="26">
        <f t="shared" si="6"/>
        <v>250</v>
      </c>
      <c r="K57" s="26">
        <f t="shared" si="7"/>
        <v>250</v>
      </c>
      <c r="L57" s="45">
        <f t="shared" si="8"/>
        <v>500</v>
      </c>
    </row>
    <row r="58" spans="2:12" ht="20" customHeight="1" thickTop="1" thickBot="1" x14ac:dyDescent="0.3">
      <c r="B58" s="44"/>
      <c r="C58" s="19"/>
      <c r="D58" s="20" t="s">
        <v>6</v>
      </c>
      <c r="E58" s="21"/>
      <c r="F58" s="22"/>
      <c r="G58" s="23"/>
      <c r="H58" s="24">
        <f t="shared" si="2"/>
        <v>0</v>
      </c>
      <c r="I58" s="25">
        <f t="shared" si="5"/>
        <v>0</v>
      </c>
      <c r="J58" s="26">
        <f t="shared" si="6"/>
        <v>250</v>
      </c>
      <c r="K58" s="26">
        <f t="shared" si="7"/>
        <v>250</v>
      </c>
      <c r="L58" s="45">
        <f t="shared" si="8"/>
        <v>500</v>
      </c>
    </row>
    <row r="59" spans="2:12" ht="20" customHeight="1" thickTop="1" thickBot="1" x14ac:dyDescent="0.3">
      <c r="B59" s="44"/>
      <c r="C59" s="19"/>
      <c r="D59" s="20" t="s">
        <v>6</v>
      </c>
      <c r="E59" s="21"/>
      <c r="F59" s="22"/>
      <c r="G59" s="23"/>
      <c r="H59" s="24">
        <f t="shared" si="2"/>
        <v>0</v>
      </c>
      <c r="I59" s="25">
        <f t="shared" si="5"/>
        <v>0</v>
      </c>
      <c r="J59" s="26">
        <f t="shared" si="6"/>
        <v>250</v>
      </c>
      <c r="K59" s="26">
        <f t="shared" si="7"/>
        <v>250</v>
      </c>
      <c r="L59" s="45">
        <f t="shared" si="8"/>
        <v>500</v>
      </c>
    </row>
    <row r="60" spans="2:12" ht="20" customHeight="1" thickTop="1" thickBot="1" x14ac:dyDescent="0.3">
      <c r="B60" s="44"/>
      <c r="C60" s="19"/>
      <c r="D60" s="20" t="s">
        <v>6</v>
      </c>
      <c r="E60" s="21"/>
      <c r="F60" s="22"/>
      <c r="G60" s="23"/>
      <c r="H60" s="24">
        <f t="shared" si="2"/>
        <v>0</v>
      </c>
      <c r="I60" s="25">
        <f t="shared" si="5"/>
        <v>0</v>
      </c>
      <c r="J60" s="26">
        <f t="shared" si="6"/>
        <v>250</v>
      </c>
      <c r="K60" s="26">
        <f t="shared" si="7"/>
        <v>250</v>
      </c>
      <c r="L60" s="45">
        <f t="shared" si="8"/>
        <v>500</v>
      </c>
    </row>
    <row r="61" spans="2:12" ht="20" customHeight="1" thickTop="1" thickBot="1" x14ac:dyDescent="0.3">
      <c r="B61" s="44"/>
      <c r="C61" s="19"/>
      <c r="D61" s="20" t="s">
        <v>6</v>
      </c>
      <c r="E61" s="21"/>
      <c r="F61" s="22"/>
      <c r="G61" s="23"/>
      <c r="H61" s="24">
        <f t="shared" si="2"/>
        <v>0</v>
      </c>
      <c r="I61" s="25">
        <f t="shared" si="5"/>
        <v>0</v>
      </c>
      <c r="J61" s="26">
        <f t="shared" si="6"/>
        <v>250</v>
      </c>
      <c r="K61" s="26">
        <f t="shared" si="7"/>
        <v>250</v>
      </c>
      <c r="L61" s="45">
        <f t="shared" si="8"/>
        <v>500</v>
      </c>
    </row>
  </sheetData>
  <autoFilter ref="B2:L4" xr:uid="{00000000-0001-0000-0000-000000000000}">
    <filterColumn colId="0" showButton="0"/>
    <filterColumn colId="3" showButton="0"/>
    <filterColumn colId="4" showButton="0"/>
  </autoFilter>
  <mergeCells count="9">
    <mergeCell ref="A2:A4"/>
    <mergeCell ref="L2:L4"/>
    <mergeCell ref="K2:K4"/>
    <mergeCell ref="J2:J4"/>
    <mergeCell ref="I2:I4"/>
    <mergeCell ref="H2:H4"/>
    <mergeCell ref="B2:C4"/>
    <mergeCell ref="D2:D4"/>
    <mergeCell ref="E2:G4"/>
  </mergeCells>
  <phoneticPr fontId="1"/>
  <conditionalFormatting sqref="D5:D61">
    <cfRule type="cellIs" dxfId="5" priority="1" operator="equal">
      <formula>"会心"</formula>
    </cfRule>
    <cfRule type="cellIs" dxfId="4" priority="2" operator="equal">
      <formula>"攻撃"</formula>
    </cfRule>
    <cfRule type="cellIs" dxfId="3" priority="4" operator="equal">
      <formula>"属性"</formula>
    </cfRule>
  </conditionalFormatting>
  <dataValidations count="4">
    <dataValidation type="list" allowBlank="1" showInputMessage="1" showErrorMessage="1" sqref="D5:D61" xr:uid="{C6620789-CD01-49B2-B09C-A92EEF6185E2}">
      <formula1>"攻撃,会心,属性"</formula1>
    </dataValidation>
    <dataValidation allowBlank="1" showInputMessage="1" sqref="E5:E61" xr:uid="{FCE368D2-222F-4036-90D8-6AF2A6053407}"/>
    <dataValidation type="list" allowBlank="1" showInputMessage="1" sqref="B5:B61" xr:uid="{084449A7-4D6E-418B-A46A-767C0D5D1A32}">
      <formula1>$U$3:$AH$3</formula1>
    </dataValidation>
    <dataValidation type="list" allowBlank="1" showInputMessage="1" sqref="C5:C61" xr:uid="{CDFF7C5F-C180-438B-BA50-F525D398DEF7}">
      <formula1>$AI$3:$AN$3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40E1-B7AF-4721-95EF-56800DC7A8E0}">
  <dimension ref="A1:AE67"/>
  <sheetViews>
    <sheetView workbookViewId="0"/>
  </sheetViews>
  <sheetFormatPr defaultRowHeight="20" customHeight="1" x14ac:dyDescent="0.25"/>
  <cols>
    <col min="1" max="1" width="7.86328125" style="16" customWidth="1"/>
    <col min="2" max="3" width="9.06640625" style="16"/>
    <col min="4" max="4" width="18.3984375" style="16" bestFit="1" customWidth="1"/>
    <col min="5" max="5" width="14.9296875" style="16" bestFit="1" customWidth="1"/>
    <col min="6" max="6" width="18.3984375" style="16" bestFit="1" customWidth="1"/>
    <col min="7" max="7" width="14.9296875" style="16" bestFit="1" customWidth="1"/>
    <col min="8" max="8" width="5.1328125" style="16" customWidth="1"/>
    <col min="9" max="11" width="9.06640625" style="16"/>
    <col min="12" max="31" width="9.06640625" style="16" hidden="1" customWidth="1"/>
    <col min="32" max="32" width="9.06640625" style="16" customWidth="1"/>
    <col min="33" max="16384" width="9.06640625" style="16"/>
  </cols>
  <sheetData>
    <row r="1" spans="1:31" ht="8.65" customHeight="1" thickBot="1" x14ac:dyDescent="0.3"/>
    <row r="2" spans="1:31" ht="20" customHeight="1" x14ac:dyDescent="0.25">
      <c r="A2" s="113"/>
      <c r="B2" s="82" t="s">
        <v>10</v>
      </c>
      <c r="C2" s="84"/>
      <c r="D2" s="118" t="s">
        <v>41</v>
      </c>
      <c r="E2" s="111" t="s">
        <v>38</v>
      </c>
      <c r="F2" s="114" t="s">
        <v>40</v>
      </c>
      <c r="G2" s="111" t="s">
        <v>39</v>
      </c>
      <c r="H2" s="56"/>
      <c r="I2" s="82" t="s">
        <v>33</v>
      </c>
      <c r="J2" s="83"/>
      <c r="K2" s="84"/>
      <c r="L2" s="16" t="s">
        <v>11</v>
      </c>
      <c r="M2" s="1" t="s">
        <v>12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13</v>
      </c>
      <c r="T2" s="1" t="s">
        <v>19</v>
      </c>
      <c r="U2" s="1" t="s">
        <v>20</v>
      </c>
      <c r="V2" s="1" t="s">
        <v>30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ht="20" customHeight="1" thickBot="1" x14ac:dyDescent="0.3">
      <c r="A3" s="113"/>
      <c r="B3" s="115"/>
      <c r="C3" s="119"/>
      <c r="D3" s="119"/>
      <c r="E3" s="112"/>
      <c r="F3" s="90"/>
      <c r="G3" s="112"/>
      <c r="H3" s="55"/>
      <c r="I3" s="85"/>
      <c r="J3" s="86"/>
      <c r="K3" s="87"/>
    </row>
    <row r="4" spans="1:31" ht="20" customHeight="1" thickTop="1" thickBot="1" x14ac:dyDescent="0.3">
      <c r="B4" s="116"/>
      <c r="C4" s="121"/>
      <c r="D4" s="104"/>
      <c r="E4" s="18">
        <f>INT(($I$3-D4)/20)</f>
        <v>0</v>
      </c>
      <c r="F4" s="17"/>
      <c r="G4" s="18">
        <f>INT(($I$3-F4)/20)</f>
        <v>0</v>
      </c>
      <c r="H4" s="54"/>
    </row>
    <row r="5" spans="1:31" ht="20" customHeight="1" thickTop="1" thickBot="1" x14ac:dyDescent="0.3">
      <c r="B5" s="116"/>
      <c r="C5" s="121"/>
      <c r="D5" s="104"/>
      <c r="E5" s="18">
        <f t="shared" ref="E5:E35" si="0">INT(($I$3-D5)/20)</f>
        <v>0</v>
      </c>
      <c r="F5" s="17"/>
      <c r="G5" s="18">
        <f t="shared" ref="G5:G66" si="1">INT(($I$3-F5)/20)</f>
        <v>0</v>
      </c>
      <c r="H5" s="54"/>
    </row>
    <row r="6" spans="1:31" ht="20" customHeight="1" thickTop="1" thickBot="1" x14ac:dyDescent="0.3">
      <c r="B6" s="116"/>
      <c r="C6" s="121"/>
      <c r="D6" s="104"/>
      <c r="E6" s="18">
        <f>INT(($I$3-D6)/20)</f>
        <v>0</v>
      </c>
      <c r="F6" s="17"/>
      <c r="G6" s="18">
        <f t="shared" si="1"/>
        <v>0</v>
      </c>
      <c r="H6" s="54"/>
    </row>
    <row r="7" spans="1:31" ht="20" customHeight="1" thickTop="1" thickBot="1" x14ac:dyDescent="0.3">
      <c r="B7" s="116"/>
      <c r="C7" s="121"/>
      <c r="D7" s="104"/>
      <c r="E7" s="18">
        <f t="shared" si="0"/>
        <v>0</v>
      </c>
      <c r="F7" s="17"/>
      <c r="G7" s="18">
        <f t="shared" si="1"/>
        <v>0</v>
      </c>
      <c r="H7" s="54"/>
    </row>
    <row r="8" spans="1:31" ht="20" customHeight="1" thickTop="1" thickBot="1" x14ac:dyDescent="0.3">
      <c r="B8" s="116"/>
      <c r="C8" s="121"/>
      <c r="D8" s="104"/>
      <c r="E8" s="18">
        <f t="shared" si="0"/>
        <v>0</v>
      </c>
      <c r="F8" s="17"/>
      <c r="G8" s="18">
        <f t="shared" si="1"/>
        <v>0</v>
      </c>
      <c r="H8" s="54"/>
    </row>
    <row r="9" spans="1:31" ht="20" customHeight="1" thickTop="1" thickBot="1" x14ac:dyDescent="0.3">
      <c r="B9" s="116"/>
      <c r="C9" s="121"/>
      <c r="D9" s="104"/>
      <c r="E9" s="18">
        <f t="shared" si="0"/>
        <v>0</v>
      </c>
      <c r="F9" s="17"/>
      <c r="G9" s="18">
        <f t="shared" si="1"/>
        <v>0</v>
      </c>
      <c r="H9" s="54"/>
    </row>
    <row r="10" spans="1:31" ht="20" customHeight="1" thickTop="1" thickBot="1" x14ac:dyDescent="0.3">
      <c r="B10" s="116"/>
      <c r="C10" s="121"/>
      <c r="D10" s="104"/>
      <c r="E10" s="18">
        <f t="shared" si="0"/>
        <v>0</v>
      </c>
      <c r="F10" s="17"/>
      <c r="G10" s="18">
        <f t="shared" si="1"/>
        <v>0</v>
      </c>
      <c r="H10" s="54"/>
    </row>
    <row r="11" spans="1:31" ht="20" customHeight="1" thickTop="1" thickBot="1" x14ac:dyDescent="0.3">
      <c r="B11" s="116"/>
      <c r="C11" s="121"/>
      <c r="D11" s="104"/>
      <c r="E11" s="18">
        <f>INT(($I$3-D11)/20)</f>
        <v>0</v>
      </c>
      <c r="F11" s="17"/>
      <c r="G11" s="18">
        <f t="shared" si="1"/>
        <v>0</v>
      </c>
      <c r="H11" s="54"/>
    </row>
    <row r="12" spans="1:31" ht="20" customHeight="1" thickTop="1" thickBot="1" x14ac:dyDescent="0.3">
      <c r="B12" s="116"/>
      <c r="C12" s="121"/>
      <c r="D12" s="104"/>
      <c r="E12" s="18">
        <f t="shared" si="0"/>
        <v>0</v>
      </c>
      <c r="F12" s="17"/>
      <c r="G12" s="18">
        <f t="shared" si="1"/>
        <v>0</v>
      </c>
      <c r="H12" s="54"/>
    </row>
    <row r="13" spans="1:31" ht="20" customHeight="1" thickTop="1" thickBot="1" x14ac:dyDescent="0.3">
      <c r="B13" s="116"/>
      <c r="C13" s="121"/>
      <c r="D13" s="104"/>
      <c r="E13" s="18">
        <f t="shared" si="0"/>
        <v>0</v>
      </c>
      <c r="F13" s="17"/>
      <c r="G13" s="18">
        <f t="shared" si="1"/>
        <v>0</v>
      </c>
      <c r="H13" s="54"/>
    </row>
    <row r="14" spans="1:31" ht="20" customHeight="1" thickTop="1" thickBot="1" x14ac:dyDescent="0.3">
      <c r="B14" s="116"/>
      <c r="C14" s="121"/>
      <c r="D14" s="104"/>
      <c r="E14" s="18">
        <f t="shared" si="0"/>
        <v>0</v>
      </c>
      <c r="F14" s="17"/>
      <c r="G14" s="18">
        <f t="shared" si="1"/>
        <v>0</v>
      </c>
      <c r="H14" s="54"/>
    </row>
    <row r="15" spans="1:31" ht="20" customHeight="1" thickTop="1" thickBot="1" x14ac:dyDescent="0.3">
      <c r="B15" s="116"/>
      <c r="C15" s="121"/>
      <c r="D15" s="104"/>
      <c r="E15" s="18">
        <f t="shared" si="0"/>
        <v>0</v>
      </c>
      <c r="F15" s="17"/>
      <c r="G15" s="18">
        <f t="shared" si="1"/>
        <v>0</v>
      </c>
      <c r="H15" s="54"/>
    </row>
    <row r="16" spans="1:31" ht="20" customHeight="1" thickTop="1" thickBot="1" x14ac:dyDescent="0.3">
      <c r="B16" s="116"/>
      <c r="C16" s="121"/>
      <c r="D16" s="104"/>
      <c r="E16" s="18">
        <f t="shared" si="0"/>
        <v>0</v>
      </c>
      <c r="F16" s="17"/>
      <c r="G16" s="18">
        <f t="shared" si="1"/>
        <v>0</v>
      </c>
      <c r="H16" s="54"/>
    </row>
    <row r="17" spans="2:8" ht="20" customHeight="1" thickTop="1" thickBot="1" x14ac:dyDescent="0.3">
      <c r="B17" s="116"/>
      <c r="C17" s="121"/>
      <c r="D17" s="104"/>
      <c r="E17" s="18">
        <f t="shared" si="0"/>
        <v>0</v>
      </c>
      <c r="F17" s="17"/>
      <c r="G17" s="18">
        <f t="shared" si="1"/>
        <v>0</v>
      </c>
      <c r="H17" s="54"/>
    </row>
    <row r="18" spans="2:8" ht="20" customHeight="1" thickTop="1" thickBot="1" x14ac:dyDescent="0.3">
      <c r="B18" s="116"/>
      <c r="C18" s="121"/>
      <c r="D18" s="104"/>
      <c r="E18" s="18">
        <f t="shared" si="0"/>
        <v>0</v>
      </c>
      <c r="F18" s="17"/>
      <c r="G18" s="18">
        <f t="shared" si="1"/>
        <v>0</v>
      </c>
      <c r="H18" s="54"/>
    </row>
    <row r="19" spans="2:8" ht="20" customHeight="1" thickTop="1" thickBot="1" x14ac:dyDescent="0.3">
      <c r="B19" s="116"/>
      <c r="C19" s="121"/>
      <c r="D19" s="104"/>
      <c r="E19" s="18">
        <f t="shared" si="0"/>
        <v>0</v>
      </c>
      <c r="F19" s="17"/>
      <c r="G19" s="18">
        <f t="shared" si="1"/>
        <v>0</v>
      </c>
      <c r="H19" s="54"/>
    </row>
    <row r="20" spans="2:8" ht="20" customHeight="1" thickTop="1" thickBot="1" x14ac:dyDescent="0.3">
      <c r="B20" s="116"/>
      <c r="C20" s="121"/>
      <c r="D20" s="104"/>
      <c r="E20" s="18">
        <f t="shared" si="0"/>
        <v>0</v>
      </c>
      <c r="F20" s="17"/>
      <c r="G20" s="18">
        <f t="shared" si="1"/>
        <v>0</v>
      </c>
      <c r="H20" s="54"/>
    </row>
    <row r="21" spans="2:8" ht="20" customHeight="1" thickTop="1" thickBot="1" x14ac:dyDescent="0.3">
      <c r="B21" s="116"/>
      <c r="C21" s="121"/>
      <c r="D21" s="104"/>
      <c r="E21" s="18">
        <f t="shared" si="0"/>
        <v>0</v>
      </c>
      <c r="F21" s="17"/>
      <c r="G21" s="18">
        <f t="shared" si="1"/>
        <v>0</v>
      </c>
      <c r="H21" s="54"/>
    </row>
    <row r="22" spans="2:8" ht="20" customHeight="1" thickTop="1" thickBot="1" x14ac:dyDescent="0.3">
      <c r="B22" s="116"/>
      <c r="C22" s="121"/>
      <c r="D22" s="104"/>
      <c r="E22" s="18">
        <f t="shared" si="0"/>
        <v>0</v>
      </c>
      <c r="F22" s="17"/>
      <c r="G22" s="18">
        <f t="shared" si="1"/>
        <v>0</v>
      </c>
      <c r="H22" s="54"/>
    </row>
    <row r="23" spans="2:8" ht="20" customHeight="1" thickTop="1" thickBot="1" x14ac:dyDescent="0.3">
      <c r="B23" s="116"/>
      <c r="C23" s="121"/>
      <c r="D23" s="104"/>
      <c r="E23" s="18">
        <f t="shared" si="0"/>
        <v>0</v>
      </c>
      <c r="F23" s="17"/>
      <c r="G23" s="18">
        <f t="shared" si="1"/>
        <v>0</v>
      </c>
      <c r="H23" s="54"/>
    </row>
    <row r="24" spans="2:8" ht="20" customHeight="1" thickTop="1" thickBot="1" x14ac:dyDescent="0.3">
      <c r="B24" s="116"/>
      <c r="C24" s="121"/>
      <c r="D24" s="104"/>
      <c r="E24" s="18">
        <f t="shared" si="0"/>
        <v>0</v>
      </c>
      <c r="F24" s="17"/>
      <c r="G24" s="18">
        <f t="shared" si="1"/>
        <v>0</v>
      </c>
      <c r="H24" s="54"/>
    </row>
    <row r="25" spans="2:8" ht="20" customHeight="1" thickTop="1" thickBot="1" x14ac:dyDescent="0.3">
      <c r="B25" s="116"/>
      <c r="C25" s="121"/>
      <c r="D25" s="104"/>
      <c r="E25" s="18">
        <f t="shared" si="0"/>
        <v>0</v>
      </c>
      <c r="F25" s="17"/>
      <c r="G25" s="18">
        <f t="shared" si="1"/>
        <v>0</v>
      </c>
      <c r="H25" s="54"/>
    </row>
    <row r="26" spans="2:8" ht="20" customHeight="1" thickTop="1" thickBot="1" x14ac:dyDescent="0.3">
      <c r="B26" s="116"/>
      <c r="C26" s="121"/>
      <c r="D26" s="104"/>
      <c r="E26" s="18">
        <f t="shared" si="0"/>
        <v>0</v>
      </c>
      <c r="F26" s="17"/>
      <c r="G26" s="18">
        <f t="shared" si="1"/>
        <v>0</v>
      </c>
      <c r="H26" s="54"/>
    </row>
    <row r="27" spans="2:8" ht="20" customHeight="1" thickTop="1" thickBot="1" x14ac:dyDescent="0.3">
      <c r="B27" s="116"/>
      <c r="C27" s="121"/>
      <c r="D27" s="104"/>
      <c r="E27" s="18">
        <f t="shared" si="0"/>
        <v>0</v>
      </c>
      <c r="F27" s="17"/>
      <c r="G27" s="18">
        <f t="shared" si="1"/>
        <v>0</v>
      </c>
      <c r="H27" s="54"/>
    </row>
    <row r="28" spans="2:8" ht="20" customHeight="1" thickTop="1" thickBot="1" x14ac:dyDescent="0.3">
      <c r="B28" s="116"/>
      <c r="C28" s="121"/>
      <c r="D28" s="104"/>
      <c r="E28" s="18">
        <f t="shared" si="0"/>
        <v>0</v>
      </c>
      <c r="F28" s="17"/>
      <c r="G28" s="18">
        <f t="shared" si="1"/>
        <v>0</v>
      </c>
      <c r="H28" s="54"/>
    </row>
    <row r="29" spans="2:8" ht="20" customHeight="1" thickTop="1" thickBot="1" x14ac:dyDescent="0.3">
      <c r="B29" s="116"/>
      <c r="C29" s="121"/>
      <c r="D29" s="104"/>
      <c r="E29" s="18">
        <f t="shared" si="0"/>
        <v>0</v>
      </c>
      <c r="F29" s="17"/>
      <c r="G29" s="18">
        <f t="shared" si="1"/>
        <v>0</v>
      </c>
      <c r="H29" s="54"/>
    </row>
    <row r="30" spans="2:8" ht="20" customHeight="1" thickTop="1" thickBot="1" x14ac:dyDescent="0.3">
      <c r="B30" s="116"/>
      <c r="C30" s="121"/>
      <c r="D30" s="104"/>
      <c r="E30" s="18">
        <f t="shared" si="0"/>
        <v>0</v>
      </c>
      <c r="F30" s="17"/>
      <c r="G30" s="18">
        <f t="shared" si="1"/>
        <v>0</v>
      </c>
      <c r="H30" s="54"/>
    </row>
    <row r="31" spans="2:8" ht="20" customHeight="1" thickTop="1" thickBot="1" x14ac:dyDescent="0.3">
      <c r="B31" s="116"/>
      <c r="C31" s="121"/>
      <c r="D31" s="104"/>
      <c r="E31" s="18">
        <f t="shared" si="0"/>
        <v>0</v>
      </c>
      <c r="F31" s="17"/>
      <c r="G31" s="18">
        <f t="shared" si="1"/>
        <v>0</v>
      </c>
      <c r="H31" s="54"/>
    </row>
    <row r="32" spans="2:8" ht="20" customHeight="1" thickTop="1" thickBot="1" x14ac:dyDescent="0.3">
      <c r="B32" s="116"/>
      <c r="C32" s="121"/>
      <c r="D32" s="104"/>
      <c r="E32" s="18">
        <f t="shared" si="0"/>
        <v>0</v>
      </c>
      <c r="F32" s="17"/>
      <c r="G32" s="18">
        <f t="shared" si="1"/>
        <v>0</v>
      </c>
      <c r="H32" s="54"/>
    </row>
    <row r="33" spans="2:8" ht="20" customHeight="1" thickTop="1" thickBot="1" x14ac:dyDescent="0.3">
      <c r="B33" s="116"/>
      <c r="C33" s="121"/>
      <c r="D33" s="104"/>
      <c r="E33" s="18">
        <f t="shared" si="0"/>
        <v>0</v>
      </c>
      <c r="F33" s="17"/>
      <c r="G33" s="18">
        <f t="shared" si="1"/>
        <v>0</v>
      </c>
      <c r="H33" s="54"/>
    </row>
    <row r="34" spans="2:8" ht="20" customHeight="1" thickTop="1" thickBot="1" x14ac:dyDescent="0.3">
      <c r="B34" s="116"/>
      <c r="C34" s="121"/>
      <c r="D34" s="104"/>
      <c r="E34" s="18">
        <f t="shared" si="0"/>
        <v>0</v>
      </c>
      <c r="F34" s="17"/>
      <c r="G34" s="18">
        <f t="shared" si="1"/>
        <v>0</v>
      </c>
      <c r="H34" s="54"/>
    </row>
    <row r="35" spans="2:8" ht="20" customHeight="1" thickTop="1" thickBot="1" x14ac:dyDescent="0.3">
      <c r="B35" s="116"/>
      <c r="C35" s="121"/>
      <c r="D35" s="104"/>
      <c r="E35" s="18">
        <f t="shared" si="0"/>
        <v>0</v>
      </c>
      <c r="F35" s="17"/>
      <c r="G35" s="18">
        <f t="shared" si="1"/>
        <v>0</v>
      </c>
      <c r="H35" s="54"/>
    </row>
    <row r="36" spans="2:8" ht="20" customHeight="1" thickTop="1" thickBot="1" x14ac:dyDescent="0.3">
      <c r="B36" s="116"/>
      <c r="C36" s="121"/>
      <c r="D36" s="104"/>
      <c r="E36" s="18">
        <f t="shared" ref="E36:E67" si="2">INT(($I$3-D36)/20)</f>
        <v>0</v>
      </c>
      <c r="F36" s="17"/>
      <c r="G36" s="18">
        <f t="shared" si="1"/>
        <v>0</v>
      </c>
      <c r="H36" s="54"/>
    </row>
    <row r="37" spans="2:8" ht="20" customHeight="1" thickTop="1" thickBot="1" x14ac:dyDescent="0.3">
      <c r="B37" s="116"/>
      <c r="C37" s="121"/>
      <c r="D37" s="104"/>
      <c r="E37" s="18">
        <f t="shared" si="2"/>
        <v>0</v>
      </c>
      <c r="F37" s="17"/>
      <c r="G37" s="18">
        <f t="shared" si="1"/>
        <v>0</v>
      </c>
      <c r="H37" s="54"/>
    </row>
    <row r="38" spans="2:8" ht="20" customHeight="1" thickTop="1" thickBot="1" x14ac:dyDescent="0.3">
      <c r="B38" s="116"/>
      <c r="C38" s="121"/>
      <c r="D38" s="104"/>
      <c r="E38" s="18">
        <f t="shared" si="2"/>
        <v>0</v>
      </c>
      <c r="F38" s="17"/>
      <c r="G38" s="18">
        <f t="shared" si="1"/>
        <v>0</v>
      </c>
      <c r="H38" s="54"/>
    </row>
    <row r="39" spans="2:8" ht="20" customHeight="1" thickTop="1" thickBot="1" x14ac:dyDescent="0.3">
      <c r="B39" s="116"/>
      <c r="C39" s="121"/>
      <c r="D39" s="104"/>
      <c r="E39" s="18">
        <f t="shared" si="2"/>
        <v>0</v>
      </c>
      <c r="F39" s="17"/>
      <c r="G39" s="18">
        <f t="shared" si="1"/>
        <v>0</v>
      </c>
      <c r="H39" s="54"/>
    </row>
    <row r="40" spans="2:8" ht="20" customHeight="1" thickTop="1" thickBot="1" x14ac:dyDescent="0.3">
      <c r="B40" s="116"/>
      <c r="C40" s="121"/>
      <c r="D40" s="104"/>
      <c r="E40" s="18">
        <f t="shared" si="2"/>
        <v>0</v>
      </c>
      <c r="F40" s="17"/>
      <c r="G40" s="18">
        <f t="shared" si="1"/>
        <v>0</v>
      </c>
      <c r="H40" s="54"/>
    </row>
    <row r="41" spans="2:8" ht="20" customHeight="1" thickTop="1" thickBot="1" x14ac:dyDescent="0.3">
      <c r="B41" s="116"/>
      <c r="C41" s="121"/>
      <c r="D41" s="104"/>
      <c r="E41" s="18">
        <f t="shared" si="2"/>
        <v>0</v>
      </c>
      <c r="F41" s="17"/>
      <c r="G41" s="18">
        <f t="shared" si="1"/>
        <v>0</v>
      </c>
      <c r="H41" s="54"/>
    </row>
    <row r="42" spans="2:8" ht="20" customHeight="1" thickTop="1" thickBot="1" x14ac:dyDescent="0.3">
      <c r="B42" s="116"/>
      <c r="C42" s="121"/>
      <c r="D42" s="104"/>
      <c r="E42" s="18">
        <f t="shared" si="2"/>
        <v>0</v>
      </c>
      <c r="F42" s="17"/>
      <c r="G42" s="18">
        <f t="shared" si="1"/>
        <v>0</v>
      </c>
      <c r="H42" s="54"/>
    </row>
    <row r="43" spans="2:8" ht="20" customHeight="1" thickTop="1" thickBot="1" x14ac:dyDescent="0.3">
      <c r="B43" s="116"/>
      <c r="C43" s="121"/>
      <c r="D43" s="104"/>
      <c r="E43" s="18">
        <f t="shared" si="2"/>
        <v>0</v>
      </c>
      <c r="F43" s="17"/>
      <c r="G43" s="18">
        <f t="shared" si="1"/>
        <v>0</v>
      </c>
      <c r="H43" s="54"/>
    </row>
    <row r="44" spans="2:8" ht="20" customHeight="1" thickTop="1" thickBot="1" x14ac:dyDescent="0.3">
      <c r="B44" s="116"/>
      <c r="C44" s="121"/>
      <c r="D44" s="104"/>
      <c r="E44" s="18">
        <f t="shared" si="2"/>
        <v>0</v>
      </c>
      <c r="F44" s="17"/>
      <c r="G44" s="18">
        <f t="shared" si="1"/>
        <v>0</v>
      </c>
      <c r="H44" s="54"/>
    </row>
    <row r="45" spans="2:8" ht="20" customHeight="1" thickTop="1" thickBot="1" x14ac:dyDescent="0.3">
      <c r="B45" s="116"/>
      <c r="C45" s="121"/>
      <c r="D45" s="104"/>
      <c r="E45" s="18">
        <f t="shared" si="2"/>
        <v>0</v>
      </c>
      <c r="F45" s="17"/>
      <c r="G45" s="18">
        <f t="shared" si="1"/>
        <v>0</v>
      </c>
      <c r="H45" s="54"/>
    </row>
    <row r="46" spans="2:8" ht="20" customHeight="1" thickTop="1" thickBot="1" x14ac:dyDescent="0.3">
      <c r="B46" s="116"/>
      <c r="C46" s="121"/>
      <c r="D46" s="104"/>
      <c r="E46" s="18">
        <f t="shared" si="2"/>
        <v>0</v>
      </c>
      <c r="F46" s="17"/>
      <c r="G46" s="18">
        <f t="shared" si="1"/>
        <v>0</v>
      </c>
      <c r="H46" s="54"/>
    </row>
    <row r="47" spans="2:8" ht="20" customHeight="1" thickTop="1" thickBot="1" x14ac:dyDescent="0.3">
      <c r="B47" s="116"/>
      <c r="C47" s="121"/>
      <c r="D47" s="104"/>
      <c r="E47" s="18">
        <f t="shared" si="2"/>
        <v>0</v>
      </c>
      <c r="F47" s="17"/>
      <c r="G47" s="18">
        <f t="shared" si="1"/>
        <v>0</v>
      </c>
      <c r="H47" s="54"/>
    </row>
    <row r="48" spans="2:8" ht="20" customHeight="1" thickTop="1" thickBot="1" x14ac:dyDescent="0.3">
      <c r="B48" s="116"/>
      <c r="C48" s="121"/>
      <c r="D48" s="104"/>
      <c r="E48" s="18">
        <f t="shared" si="2"/>
        <v>0</v>
      </c>
      <c r="F48" s="17"/>
      <c r="G48" s="18">
        <f t="shared" si="1"/>
        <v>0</v>
      </c>
      <c r="H48" s="54"/>
    </row>
    <row r="49" spans="2:8" ht="20" customHeight="1" thickTop="1" thickBot="1" x14ac:dyDescent="0.3">
      <c r="B49" s="116"/>
      <c r="C49" s="121"/>
      <c r="D49" s="104"/>
      <c r="E49" s="18">
        <f t="shared" si="2"/>
        <v>0</v>
      </c>
      <c r="F49" s="17"/>
      <c r="G49" s="18">
        <f t="shared" si="1"/>
        <v>0</v>
      </c>
      <c r="H49" s="54"/>
    </row>
    <row r="50" spans="2:8" ht="20" customHeight="1" thickTop="1" thickBot="1" x14ac:dyDescent="0.3">
      <c r="B50" s="116"/>
      <c r="C50" s="121"/>
      <c r="D50" s="104"/>
      <c r="E50" s="18">
        <f t="shared" si="2"/>
        <v>0</v>
      </c>
      <c r="F50" s="17"/>
      <c r="G50" s="18">
        <f t="shared" si="1"/>
        <v>0</v>
      </c>
      <c r="H50" s="54"/>
    </row>
    <row r="51" spans="2:8" ht="20" customHeight="1" thickTop="1" thickBot="1" x14ac:dyDescent="0.3">
      <c r="B51" s="116"/>
      <c r="C51" s="121"/>
      <c r="D51" s="104"/>
      <c r="E51" s="18">
        <f t="shared" si="2"/>
        <v>0</v>
      </c>
      <c r="F51" s="17"/>
      <c r="G51" s="18">
        <f t="shared" si="1"/>
        <v>0</v>
      </c>
      <c r="H51" s="54"/>
    </row>
    <row r="52" spans="2:8" ht="20" customHeight="1" thickTop="1" thickBot="1" x14ac:dyDescent="0.3">
      <c r="B52" s="116"/>
      <c r="C52" s="121"/>
      <c r="D52" s="104"/>
      <c r="E52" s="18">
        <f t="shared" si="2"/>
        <v>0</v>
      </c>
      <c r="F52" s="17"/>
      <c r="G52" s="18">
        <f t="shared" si="1"/>
        <v>0</v>
      </c>
      <c r="H52" s="54"/>
    </row>
    <row r="53" spans="2:8" ht="20" customHeight="1" thickTop="1" thickBot="1" x14ac:dyDescent="0.3">
      <c r="B53" s="116"/>
      <c r="C53" s="121"/>
      <c r="D53" s="104"/>
      <c r="E53" s="18">
        <f t="shared" si="2"/>
        <v>0</v>
      </c>
      <c r="F53" s="17"/>
      <c r="G53" s="18">
        <f t="shared" si="1"/>
        <v>0</v>
      </c>
      <c r="H53" s="54"/>
    </row>
    <row r="54" spans="2:8" ht="20" customHeight="1" thickTop="1" thickBot="1" x14ac:dyDescent="0.3">
      <c r="B54" s="116"/>
      <c r="C54" s="121"/>
      <c r="D54" s="104"/>
      <c r="E54" s="18">
        <f t="shared" si="2"/>
        <v>0</v>
      </c>
      <c r="F54" s="17"/>
      <c r="G54" s="18">
        <f t="shared" si="1"/>
        <v>0</v>
      </c>
      <c r="H54" s="54"/>
    </row>
    <row r="55" spans="2:8" ht="20" customHeight="1" thickTop="1" thickBot="1" x14ac:dyDescent="0.3">
      <c r="B55" s="116"/>
      <c r="C55" s="121"/>
      <c r="D55" s="104"/>
      <c r="E55" s="18">
        <f t="shared" si="2"/>
        <v>0</v>
      </c>
      <c r="F55" s="17"/>
      <c r="G55" s="18">
        <f t="shared" si="1"/>
        <v>0</v>
      </c>
      <c r="H55" s="54"/>
    </row>
    <row r="56" spans="2:8" ht="20" customHeight="1" thickTop="1" thickBot="1" x14ac:dyDescent="0.3">
      <c r="B56" s="116"/>
      <c r="C56" s="121"/>
      <c r="D56" s="104"/>
      <c r="E56" s="18">
        <f t="shared" si="2"/>
        <v>0</v>
      </c>
      <c r="F56" s="17"/>
      <c r="G56" s="18">
        <f t="shared" si="1"/>
        <v>0</v>
      </c>
      <c r="H56" s="54"/>
    </row>
    <row r="57" spans="2:8" ht="20" customHeight="1" thickTop="1" thickBot="1" x14ac:dyDescent="0.3">
      <c r="B57" s="116"/>
      <c r="C57" s="121"/>
      <c r="D57" s="104"/>
      <c r="E57" s="18">
        <f t="shared" si="2"/>
        <v>0</v>
      </c>
      <c r="F57" s="17"/>
      <c r="G57" s="18">
        <f t="shared" si="1"/>
        <v>0</v>
      </c>
      <c r="H57" s="54"/>
    </row>
    <row r="58" spans="2:8" ht="20" customHeight="1" thickTop="1" thickBot="1" x14ac:dyDescent="0.3">
      <c r="B58" s="116"/>
      <c r="C58" s="121"/>
      <c r="D58" s="104"/>
      <c r="E58" s="18">
        <f t="shared" si="2"/>
        <v>0</v>
      </c>
      <c r="F58" s="17"/>
      <c r="G58" s="18">
        <f t="shared" si="1"/>
        <v>0</v>
      </c>
      <c r="H58" s="54"/>
    </row>
    <row r="59" spans="2:8" ht="20" customHeight="1" thickTop="1" thickBot="1" x14ac:dyDescent="0.3">
      <c r="B59" s="116"/>
      <c r="C59" s="121"/>
      <c r="D59" s="104"/>
      <c r="E59" s="18">
        <f t="shared" si="2"/>
        <v>0</v>
      </c>
      <c r="F59" s="17"/>
      <c r="G59" s="18">
        <f t="shared" si="1"/>
        <v>0</v>
      </c>
      <c r="H59" s="54"/>
    </row>
    <row r="60" spans="2:8" ht="20" customHeight="1" thickTop="1" thickBot="1" x14ac:dyDescent="0.3">
      <c r="B60" s="116"/>
      <c r="C60" s="121"/>
      <c r="D60" s="104"/>
      <c r="E60" s="18">
        <f t="shared" si="2"/>
        <v>0</v>
      </c>
      <c r="F60" s="17"/>
      <c r="G60" s="18">
        <f t="shared" si="1"/>
        <v>0</v>
      </c>
      <c r="H60" s="54"/>
    </row>
    <row r="61" spans="2:8" ht="20" customHeight="1" thickTop="1" thickBot="1" x14ac:dyDescent="0.3">
      <c r="B61" s="116"/>
      <c r="C61" s="121"/>
      <c r="D61" s="104"/>
      <c r="E61" s="18">
        <f t="shared" si="2"/>
        <v>0</v>
      </c>
      <c r="F61" s="17"/>
      <c r="G61" s="18">
        <f t="shared" si="1"/>
        <v>0</v>
      </c>
      <c r="H61" s="54"/>
    </row>
    <row r="62" spans="2:8" ht="20" customHeight="1" thickTop="1" thickBot="1" x14ac:dyDescent="0.3">
      <c r="B62" s="116"/>
      <c r="C62" s="121"/>
      <c r="D62" s="104"/>
      <c r="E62" s="18">
        <f t="shared" si="2"/>
        <v>0</v>
      </c>
      <c r="F62" s="17"/>
      <c r="G62" s="18">
        <f t="shared" si="1"/>
        <v>0</v>
      </c>
      <c r="H62" s="54"/>
    </row>
    <row r="63" spans="2:8" ht="20" customHeight="1" thickTop="1" thickBot="1" x14ac:dyDescent="0.3">
      <c r="B63" s="116"/>
      <c r="C63" s="121"/>
      <c r="D63" s="104"/>
      <c r="E63" s="18">
        <f t="shared" si="2"/>
        <v>0</v>
      </c>
      <c r="F63" s="17"/>
      <c r="G63" s="18">
        <f t="shared" si="1"/>
        <v>0</v>
      </c>
      <c r="H63" s="54"/>
    </row>
    <row r="64" spans="2:8" ht="20" customHeight="1" thickTop="1" thickBot="1" x14ac:dyDescent="0.3">
      <c r="B64" s="116"/>
      <c r="C64" s="121"/>
      <c r="D64" s="104"/>
      <c r="E64" s="18">
        <f t="shared" si="2"/>
        <v>0</v>
      </c>
      <c r="F64" s="17"/>
      <c r="G64" s="18">
        <f t="shared" si="1"/>
        <v>0</v>
      </c>
      <c r="H64" s="54"/>
    </row>
    <row r="65" spans="2:8" ht="20" customHeight="1" thickTop="1" thickBot="1" x14ac:dyDescent="0.3">
      <c r="B65" s="116"/>
      <c r="C65" s="121"/>
      <c r="D65" s="104"/>
      <c r="E65" s="18">
        <f t="shared" si="2"/>
        <v>0</v>
      </c>
      <c r="F65" s="17"/>
      <c r="G65" s="18">
        <f t="shared" si="1"/>
        <v>0</v>
      </c>
      <c r="H65" s="54"/>
    </row>
    <row r="66" spans="2:8" ht="20" customHeight="1" thickTop="1" thickBot="1" x14ac:dyDescent="0.3">
      <c r="B66" s="116"/>
      <c r="C66" s="121"/>
      <c r="D66" s="104"/>
      <c r="E66" s="18">
        <f t="shared" si="2"/>
        <v>0</v>
      </c>
      <c r="F66" s="17"/>
      <c r="G66" s="18">
        <f>INT(($I$3-F66)/20)</f>
        <v>0</v>
      </c>
      <c r="H66" s="54"/>
    </row>
    <row r="67" spans="2:8" ht="20" customHeight="1" thickTop="1" thickBot="1" x14ac:dyDescent="0.3">
      <c r="B67" s="117"/>
      <c r="C67" s="122"/>
      <c r="D67" s="120"/>
      <c r="E67" s="29">
        <f t="shared" si="2"/>
        <v>0</v>
      </c>
      <c r="F67" s="28"/>
      <c r="G67" s="29">
        <f t="shared" ref="G12:G67" si="3">INT(($I$3-F67)/20)</f>
        <v>0</v>
      </c>
      <c r="H67" s="54"/>
    </row>
  </sheetData>
  <autoFilter ref="B2:G3" xr:uid="{C8E040E1-B7AF-4721-95EF-56800DC7A8E0}">
    <filterColumn colId="0" showButton="0"/>
  </autoFilter>
  <mergeCells count="8">
    <mergeCell ref="A2:A3"/>
    <mergeCell ref="I2:K2"/>
    <mergeCell ref="I3:K3"/>
    <mergeCell ref="E2:E3"/>
    <mergeCell ref="D2:D3"/>
    <mergeCell ref="B2:C3"/>
    <mergeCell ref="F2:F3"/>
    <mergeCell ref="G2:G3"/>
  </mergeCells>
  <phoneticPr fontId="1"/>
  <dataValidations count="3">
    <dataValidation allowBlank="1" showInputMessage="1" sqref="D4:D67 F4:F67" xr:uid="{43024262-B178-4F67-814E-412DD263B44F}"/>
    <dataValidation type="list" allowBlank="1" showInputMessage="1" sqref="C4:C67" xr:uid="{2B172FCF-25F6-46A4-B794-33E5DD1C2B1A}">
      <formula1>$Z$2:$AE$2</formula1>
    </dataValidation>
    <dataValidation type="list" allowBlank="1" showInputMessage="1" sqref="B4:B67" xr:uid="{3998E78C-3404-4590-AB62-06C8D50365D3}">
      <formula1>$L$2:$Y$2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52F3-8D4E-49AA-A5B4-1E1A384301C6}">
  <dimension ref="B1:P58"/>
  <sheetViews>
    <sheetView tabSelected="1" workbookViewId="0"/>
  </sheetViews>
  <sheetFormatPr defaultRowHeight="12.75" x14ac:dyDescent="0.25"/>
  <cols>
    <col min="1" max="1" width="4.1328125" customWidth="1"/>
    <col min="4" max="4" width="10.265625" bestFit="1" customWidth="1"/>
    <col min="5" max="5" width="11.265625" customWidth="1"/>
    <col min="6" max="6" width="13" customWidth="1"/>
    <col min="7" max="7" width="11.46484375" customWidth="1"/>
    <col min="8" max="8" width="13.19921875" bestFit="1" customWidth="1"/>
    <col min="9" max="9" width="10.06640625" customWidth="1"/>
  </cols>
  <sheetData>
    <row r="1" spans="2:16" x14ac:dyDescent="0.25">
      <c r="B1" t="s">
        <v>37</v>
      </c>
    </row>
    <row r="3" spans="2:16" ht="13.15" thickBot="1" x14ac:dyDescent="0.3"/>
    <row r="4" spans="2:16" ht="13.15" thickBot="1" x14ac:dyDescent="0.3">
      <c r="D4" s="93" t="s">
        <v>35</v>
      </c>
      <c r="E4" s="94"/>
      <c r="F4" s="94"/>
      <c r="G4" s="94"/>
      <c r="H4" s="94"/>
      <c r="I4" s="95"/>
    </row>
    <row r="5" spans="2:16" ht="13.15" thickBot="1" x14ac:dyDescent="0.3"/>
    <row r="6" spans="2:16" x14ac:dyDescent="0.25">
      <c r="B6" s="76" t="s">
        <v>10</v>
      </c>
      <c r="C6" s="77"/>
      <c r="D6" s="77" t="s">
        <v>0</v>
      </c>
      <c r="E6" s="70" t="s">
        <v>31</v>
      </c>
      <c r="F6" s="70"/>
      <c r="G6" s="70"/>
      <c r="H6" s="73" t="s">
        <v>1</v>
      </c>
      <c r="I6" s="70" t="s">
        <v>5</v>
      </c>
      <c r="J6" s="70" t="s">
        <v>2</v>
      </c>
      <c r="K6" s="70" t="s">
        <v>3</v>
      </c>
      <c r="L6" s="67" t="s">
        <v>4</v>
      </c>
      <c r="M6" s="1"/>
      <c r="N6" s="46" t="s">
        <v>32</v>
      </c>
      <c r="O6" s="47"/>
      <c r="P6" s="48"/>
    </row>
    <row r="7" spans="2:16" x14ac:dyDescent="0.25">
      <c r="B7" s="78"/>
      <c r="C7" s="79"/>
      <c r="D7" s="79"/>
      <c r="E7" s="71"/>
      <c r="F7" s="71"/>
      <c r="G7" s="71"/>
      <c r="H7" s="74"/>
      <c r="I7" s="71"/>
      <c r="J7" s="71"/>
      <c r="K7" s="71"/>
      <c r="L7" s="68"/>
      <c r="M7" s="1"/>
      <c r="N7" s="49" t="s">
        <v>7</v>
      </c>
      <c r="O7" s="2" t="s">
        <v>8</v>
      </c>
      <c r="P7" s="50" t="s">
        <v>9</v>
      </c>
    </row>
    <row r="8" spans="2:16" ht="13.15" thickBot="1" x14ac:dyDescent="0.3">
      <c r="B8" s="80"/>
      <c r="C8" s="81"/>
      <c r="D8" s="81"/>
      <c r="E8" s="72"/>
      <c r="F8" s="72"/>
      <c r="G8" s="72"/>
      <c r="H8" s="75"/>
      <c r="I8" s="72"/>
      <c r="J8" s="72"/>
      <c r="K8" s="72"/>
      <c r="L8" s="69"/>
      <c r="M8" s="1"/>
      <c r="N8" s="51">
        <v>121</v>
      </c>
      <c r="O8" s="52">
        <v>89</v>
      </c>
      <c r="P8" s="53">
        <v>120</v>
      </c>
    </row>
    <row r="9" spans="2:16" ht="13.15" thickBot="1" x14ac:dyDescent="0.3">
      <c r="B9" s="38" t="s">
        <v>11</v>
      </c>
      <c r="C9" s="30" t="s">
        <v>24</v>
      </c>
      <c r="D9" s="31" t="s">
        <v>34</v>
      </c>
      <c r="E9" s="32">
        <v>66</v>
      </c>
      <c r="F9" s="33">
        <v>89</v>
      </c>
      <c r="G9" s="34">
        <v>121</v>
      </c>
      <c r="H9" s="35">
        <f t="shared" ref="H9:H13" si="0">INT(I9/1500)</f>
        <v>18</v>
      </c>
      <c r="I9" s="36">
        <f>($N$8-E9)*J9+($O$8-F9)*K9+($P$8-G9)*L9</f>
        <v>27250</v>
      </c>
      <c r="J9" s="37">
        <f t="shared" ref="J9:J13" si="1">IF(D9="攻撃",500,250)</f>
        <v>500</v>
      </c>
      <c r="K9" s="37">
        <f t="shared" ref="K9:K13" si="2">IF(D9="会心",500,250)</f>
        <v>250</v>
      </c>
      <c r="L9" s="39">
        <f t="shared" ref="L9:L13" si="3">IF(D9="属性",500,250)</f>
        <v>250</v>
      </c>
      <c r="M9" s="1"/>
      <c r="N9" s="1"/>
      <c r="O9" s="1"/>
      <c r="P9" s="1"/>
    </row>
    <row r="10" spans="2:16" ht="13.5" thickTop="1" thickBot="1" x14ac:dyDescent="0.3">
      <c r="B10" s="40" t="s">
        <v>11</v>
      </c>
      <c r="C10" s="11" t="s">
        <v>25</v>
      </c>
      <c r="D10" s="15" t="s">
        <v>34</v>
      </c>
      <c r="E10" s="13">
        <v>21</v>
      </c>
      <c r="F10" s="3">
        <v>0</v>
      </c>
      <c r="G10" s="4">
        <v>0</v>
      </c>
      <c r="H10" s="7">
        <f t="shared" si="0"/>
        <v>68</v>
      </c>
      <c r="I10" s="9">
        <f>($N$8-E10)*J10+($O$8-F10)*K10+($P$8-G10)*L10</f>
        <v>102250</v>
      </c>
      <c r="J10" s="10">
        <f t="shared" si="1"/>
        <v>500</v>
      </c>
      <c r="K10" s="10">
        <f t="shared" si="2"/>
        <v>250</v>
      </c>
      <c r="L10" s="41">
        <f t="shared" si="3"/>
        <v>250</v>
      </c>
      <c r="M10" s="1"/>
      <c r="N10" s="1"/>
      <c r="O10" s="1"/>
      <c r="P10" s="1"/>
    </row>
    <row r="11" spans="2:16" ht="13.5" thickTop="1" thickBot="1" x14ac:dyDescent="0.3">
      <c r="B11" s="42" t="s">
        <v>13</v>
      </c>
      <c r="C11" s="63" t="s">
        <v>29</v>
      </c>
      <c r="D11" s="15" t="s">
        <v>6</v>
      </c>
      <c r="E11" s="64">
        <v>54</v>
      </c>
      <c r="F11" s="60">
        <v>89</v>
      </c>
      <c r="G11" s="61">
        <v>0</v>
      </c>
      <c r="H11" s="65">
        <f t="shared" si="0"/>
        <v>51</v>
      </c>
      <c r="I11" s="9">
        <f>($N$8-E11)*J11+($O$8-F11)*K11+($P$8-G11)*L11</f>
        <v>76750</v>
      </c>
      <c r="J11" s="10">
        <f t="shared" si="1"/>
        <v>250</v>
      </c>
      <c r="K11" s="10">
        <f t="shared" si="2"/>
        <v>250</v>
      </c>
      <c r="L11" s="41">
        <f t="shared" si="3"/>
        <v>500</v>
      </c>
      <c r="M11" s="1"/>
      <c r="N11" s="1"/>
      <c r="O11" s="1"/>
      <c r="P11" s="1"/>
    </row>
    <row r="12" spans="2:16" ht="13.5" thickTop="1" thickBot="1" x14ac:dyDescent="0.3">
      <c r="B12" s="40"/>
      <c r="C12" s="11"/>
      <c r="D12" s="15" t="s">
        <v>6</v>
      </c>
      <c r="E12" s="13"/>
      <c r="F12" s="3"/>
      <c r="G12" s="4"/>
      <c r="H12" s="7">
        <f t="shared" si="0"/>
        <v>75</v>
      </c>
      <c r="I12" s="9">
        <f>($N$8-E12)*J12+($O$8-F12)*K12+($P$8-G12)*L12</f>
        <v>112500</v>
      </c>
      <c r="J12" s="10">
        <f t="shared" si="1"/>
        <v>250</v>
      </c>
      <c r="K12" s="10">
        <f t="shared" si="2"/>
        <v>250</v>
      </c>
      <c r="L12" s="41">
        <f t="shared" si="3"/>
        <v>500</v>
      </c>
    </row>
    <row r="13" spans="2:16" ht="13.5" thickTop="1" thickBot="1" x14ac:dyDescent="0.3">
      <c r="B13" s="40"/>
      <c r="C13" s="11"/>
      <c r="D13" s="15" t="s">
        <v>6</v>
      </c>
      <c r="E13" s="13"/>
      <c r="F13" s="3"/>
      <c r="G13" s="4"/>
      <c r="H13" s="7">
        <f t="shared" si="0"/>
        <v>75</v>
      </c>
      <c r="I13" s="9">
        <f>($N$8-E13)*J13+($O$8-F13)*K13+($P$8-G13)*L13</f>
        <v>112500</v>
      </c>
      <c r="J13" s="10">
        <f t="shared" si="1"/>
        <v>250</v>
      </c>
      <c r="K13" s="10">
        <f t="shared" si="2"/>
        <v>250</v>
      </c>
      <c r="L13" s="41">
        <f t="shared" si="3"/>
        <v>500</v>
      </c>
    </row>
    <row r="14" spans="2:16" ht="13.15" thickTop="1" x14ac:dyDescent="0.25"/>
    <row r="17" spans="7:16" x14ac:dyDescent="0.25">
      <c r="P17" s="1"/>
    </row>
    <row r="19" spans="7:16" x14ac:dyDescent="0.25">
      <c r="M19" s="1"/>
    </row>
    <row r="23" spans="7:16" x14ac:dyDescent="0.25">
      <c r="G23" s="1"/>
    </row>
    <row r="24" spans="7:16" x14ac:dyDescent="0.25">
      <c r="G24" s="1"/>
    </row>
    <row r="25" spans="7:16" x14ac:dyDescent="0.25">
      <c r="G25" s="1"/>
    </row>
    <row r="26" spans="7:16" x14ac:dyDescent="0.25">
      <c r="G26" s="1"/>
    </row>
    <row r="27" spans="7:16" x14ac:dyDescent="0.25">
      <c r="G27" s="1"/>
    </row>
    <row r="28" spans="7:16" x14ac:dyDescent="0.25">
      <c r="G28" s="1"/>
    </row>
    <row r="29" spans="7:16" x14ac:dyDescent="0.25">
      <c r="G29" s="1"/>
    </row>
    <row r="30" spans="7:16" x14ac:dyDescent="0.25">
      <c r="G30" s="1"/>
    </row>
    <row r="31" spans="7:16" x14ac:dyDescent="0.25">
      <c r="G31" s="1"/>
    </row>
    <row r="32" spans="7:16" ht="13.15" thickBot="1" x14ac:dyDescent="0.3">
      <c r="G32" s="1"/>
    </row>
    <row r="33" spans="2:12" x14ac:dyDescent="0.25">
      <c r="B33" s="76" t="s">
        <v>10</v>
      </c>
      <c r="C33" s="77"/>
      <c r="D33" s="77" t="s">
        <v>0</v>
      </c>
      <c r="E33" s="70" t="s">
        <v>31</v>
      </c>
      <c r="F33" s="70"/>
      <c r="G33" s="70"/>
      <c r="H33" s="73" t="s">
        <v>1</v>
      </c>
      <c r="I33" s="70" t="s">
        <v>5</v>
      </c>
      <c r="J33" s="70" t="s">
        <v>2</v>
      </c>
      <c r="K33" s="70" t="s">
        <v>3</v>
      </c>
      <c r="L33" s="67" t="s">
        <v>4</v>
      </c>
    </row>
    <row r="34" spans="2:12" x14ac:dyDescent="0.25">
      <c r="B34" s="78"/>
      <c r="C34" s="79"/>
      <c r="D34" s="79"/>
      <c r="E34" s="71"/>
      <c r="F34" s="71"/>
      <c r="G34" s="71"/>
      <c r="H34" s="74"/>
      <c r="I34" s="71"/>
      <c r="J34" s="71"/>
      <c r="K34" s="71"/>
      <c r="L34" s="68"/>
    </row>
    <row r="35" spans="2:12" ht="13.15" thickBot="1" x14ac:dyDescent="0.3">
      <c r="B35" s="80"/>
      <c r="C35" s="81"/>
      <c r="D35" s="81"/>
      <c r="E35" s="72"/>
      <c r="F35" s="72"/>
      <c r="G35" s="72"/>
      <c r="H35" s="75"/>
      <c r="I35" s="72"/>
      <c r="J35" s="72"/>
      <c r="K35" s="72"/>
      <c r="L35" s="69"/>
    </row>
    <row r="50" spans="4:13" ht="13.15" thickBot="1" x14ac:dyDescent="0.3"/>
    <row r="51" spans="4:13" ht="13.15" thickBot="1" x14ac:dyDescent="0.3">
      <c r="D51" s="93" t="s">
        <v>36</v>
      </c>
      <c r="E51" s="94"/>
      <c r="F51" s="94"/>
      <c r="G51" s="94"/>
      <c r="H51" s="94"/>
      <c r="I51" s="95"/>
    </row>
    <row r="52" spans="4:13" ht="13.15" thickBot="1" x14ac:dyDescent="0.3"/>
    <row r="53" spans="4:13" ht="13.15" customHeight="1" thickTop="1" x14ac:dyDescent="0.25">
      <c r="D53" s="91" t="s">
        <v>10</v>
      </c>
      <c r="E53" s="99"/>
      <c r="F53" s="105" t="s">
        <v>41</v>
      </c>
      <c r="G53" s="106" t="s">
        <v>38</v>
      </c>
      <c r="H53" s="102" t="s">
        <v>40</v>
      </c>
      <c r="I53" s="88" t="s">
        <v>39</v>
      </c>
      <c r="J53" s="56"/>
      <c r="K53" s="82" t="s">
        <v>33</v>
      </c>
      <c r="L53" s="83"/>
      <c r="M53" s="84"/>
    </row>
    <row r="54" spans="4:13" ht="16.899999999999999" customHeight="1" thickBot="1" x14ac:dyDescent="0.3">
      <c r="D54" s="92"/>
      <c r="E54" s="100"/>
      <c r="F54" s="107"/>
      <c r="G54" s="108"/>
      <c r="H54" s="103"/>
      <c r="I54" s="89"/>
      <c r="J54" s="55"/>
      <c r="K54" s="96">
        <v>3432</v>
      </c>
      <c r="L54" s="97"/>
      <c r="M54" s="98"/>
    </row>
    <row r="55" spans="4:13" ht="13.5" thickTop="1" thickBot="1" x14ac:dyDescent="0.3">
      <c r="D55" s="27" t="s">
        <v>12</v>
      </c>
      <c r="E55" s="101" t="s">
        <v>25</v>
      </c>
      <c r="F55" s="109">
        <v>3302</v>
      </c>
      <c r="G55" s="110">
        <f>INT((K54-F55)/20)</f>
        <v>6</v>
      </c>
      <c r="H55" s="104"/>
      <c r="I55" s="18">
        <f>INT((K54-H55)/20)</f>
        <v>171</v>
      </c>
      <c r="J55" s="54"/>
      <c r="K55" s="16"/>
      <c r="L55" s="16"/>
      <c r="M55" s="16"/>
    </row>
    <row r="56" spans="4:13" ht="13.5" thickTop="1" thickBot="1" x14ac:dyDescent="0.3">
      <c r="D56" s="27" t="s">
        <v>42</v>
      </c>
      <c r="E56" s="101" t="s">
        <v>24</v>
      </c>
      <c r="F56" s="109">
        <v>1282</v>
      </c>
      <c r="G56" s="110">
        <f>INT((K54-F56)/20)</f>
        <v>107</v>
      </c>
      <c r="H56" s="104">
        <v>1802</v>
      </c>
      <c r="I56" s="18">
        <f>INT((K54-H56)/20)</f>
        <v>81</v>
      </c>
      <c r="J56" s="54"/>
      <c r="K56" s="16"/>
      <c r="L56" s="16"/>
      <c r="M56" s="16"/>
    </row>
    <row r="57" spans="4:13" ht="13.5" thickTop="1" thickBot="1" x14ac:dyDescent="0.3">
      <c r="D57" s="27"/>
      <c r="E57" s="101"/>
      <c r="F57" s="109"/>
      <c r="G57" s="110">
        <f>INT((K54-F57)/20)</f>
        <v>171</v>
      </c>
      <c r="H57" s="104"/>
      <c r="I57" s="18">
        <f>INT((K54-H57)/20)</f>
        <v>171</v>
      </c>
      <c r="J57" s="54"/>
      <c r="K57" s="16"/>
      <c r="L57" s="16"/>
      <c r="M57" s="16"/>
    </row>
    <row r="58" spans="4:13" ht="13.15" thickTop="1" x14ac:dyDescent="0.25"/>
  </sheetData>
  <autoFilter ref="B33:L35" xr:uid="{ADC052F3-8D4E-49AA-A5B4-1E1A384301C6}">
    <filterColumn colId="0" showButton="0"/>
    <filterColumn colId="3" showButton="0"/>
    <filterColumn colId="4" showButton="0"/>
  </autoFilter>
  <mergeCells count="25">
    <mergeCell ref="K6:K8"/>
    <mergeCell ref="L6:L8"/>
    <mergeCell ref="D4:I4"/>
    <mergeCell ref="B33:C35"/>
    <mergeCell ref="D33:D35"/>
    <mergeCell ref="E33:G35"/>
    <mergeCell ref="H33:H35"/>
    <mergeCell ref="I33:I35"/>
    <mergeCell ref="J33:J35"/>
    <mergeCell ref="B6:C8"/>
    <mergeCell ref="D6:D8"/>
    <mergeCell ref="E6:G8"/>
    <mergeCell ref="H6:H8"/>
    <mergeCell ref="I6:I8"/>
    <mergeCell ref="J6:J8"/>
    <mergeCell ref="K33:K35"/>
    <mergeCell ref="L33:L35"/>
    <mergeCell ref="D51:I51"/>
    <mergeCell ref="D53:E54"/>
    <mergeCell ref="F53:F54"/>
    <mergeCell ref="G53:G54"/>
    <mergeCell ref="H53:H54"/>
    <mergeCell ref="I53:I54"/>
    <mergeCell ref="K53:M53"/>
    <mergeCell ref="K54:M54"/>
  </mergeCells>
  <phoneticPr fontId="1"/>
  <conditionalFormatting sqref="D9:D13">
    <cfRule type="cellIs" dxfId="2" priority="1" operator="equal">
      <formula>"会心"</formula>
    </cfRule>
    <cfRule type="cellIs" dxfId="1" priority="2" operator="equal">
      <formula>"攻撃"</formula>
    </cfRule>
    <cfRule type="cellIs" dxfId="0" priority="3" operator="equal">
      <formula>"属性"</formula>
    </cfRule>
  </conditionalFormatting>
  <dataValidations count="7">
    <dataValidation type="list" allowBlank="1" showInputMessage="1" showErrorMessage="1" sqref="C9:C13" xr:uid="{CF0C8C42-E113-41B0-9151-681F115770AD}">
      <formula1>$AI$7:$AN$7</formula1>
    </dataValidation>
    <dataValidation type="list" allowBlank="1" showInputMessage="1" showErrorMessage="1" sqref="B9:B13" xr:uid="{3B6D1AA6-56A6-47BE-9B2C-FE8DAB6096A9}">
      <formula1>$U$7:$AH$7</formula1>
    </dataValidation>
    <dataValidation type="list" allowBlank="1" showInputMessage="1" sqref="E9:E13" xr:uid="{7CE88043-24DD-478C-9CD3-088B22CE2374}">
      <formula1>"0"</formula1>
    </dataValidation>
    <dataValidation type="list" allowBlank="1" showInputMessage="1" showErrorMessage="1" sqref="D9:D13" xr:uid="{AAA974B2-C14A-425A-AD34-6AC9E35D8F7F}">
      <formula1>"攻撃,会心,属性"</formula1>
    </dataValidation>
    <dataValidation type="list" allowBlank="1" showInputMessage="1" sqref="D55:D57" xr:uid="{90AD26DD-C8ED-48D2-95B3-E83130FE5830}">
      <formula1>$L$2:$Y$2</formula1>
    </dataValidation>
    <dataValidation type="list" allowBlank="1" showInputMessage="1" sqref="E55:E57" xr:uid="{6F79AFA7-7C47-4E58-8B0F-F7F74FA00002}">
      <formula1>$Z$2:$AE$2</formula1>
    </dataValidation>
    <dataValidation allowBlank="1" showInputMessage="1" sqref="F55:F57 H55:H57" xr:uid="{3E488410-8279-4BCC-938C-4000E35F6157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スキル厳選</vt:lpstr>
      <vt:lpstr>ボーナス厳選</vt:lpstr>
      <vt:lpstr>使い方！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2025-12-25T23:59:36Z</dcterms:created>
  <dcterms:modified xsi:type="dcterms:W3CDTF">2025-12-30T09:34:34Z</dcterms:modified>
</cp:coreProperties>
</file>